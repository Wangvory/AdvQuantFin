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amini\Desktop\"/>
    </mc:Choice>
  </mc:AlternateContent>
  <bookViews>
    <workbookView xWindow="0" yWindow="0" windowWidth="23400" windowHeight="15480" activeTab="1"/>
  </bookViews>
  <sheets>
    <sheet name="Spreadsheet10.1" sheetId="4" r:id="rId1"/>
    <sheet name="Spreadsheet10.2" sheetId="6" r:id="rId2"/>
    <sheet name="Spreadsheet10.3 (new)" sheetId="7" r:id="rId3"/>
  </sheets>
  <functionGroups builtInGroupCount="18"/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_LS1" localSheetId="2">#REF!</definedName>
    <definedName name="_LS1">#REF!</definedName>
    <definedName name="_LS2" localSheetId="2">#REF!</definedName>
    <definedName name="_LS2">#REF!</definedName>
    <definedName name="_mu1" localSheetId="2">#REF!</definedName>
    <definedName name="_mu1">#REF!</definedName>
    <definedName name="_mu2" localSheetId="2">#REF!</definedName>
    <definedName name="_mu2">#REF!</definedName>
    <definedName name="_Mu3" localSheetId="2">#REF!</definedName>
    <definedName name="_Mu3">#REF!</definedName>
    <definedName name="_PV1" localSheetId="2">#REF!</definedName>
    <definedName name="_PV1">#REF!</definedName>
    <definedName name="_PV2" localSheetId="2">#REF!</definedName>
    <definedName name="_PV2">#REF!</definedName>
    <definedName name="_RDV01">[1]BlackModel!$D$21</definedName>
    <definedName name="_Val1">[2]CVA!$J$3</definedName>
    <definedName name="_Val2">[2]CVA!$J$4</definedName>
    <definedName name="_Val3">[2]CVA!$J$5</definedName>
    <definedName name="_VaR10" localSheetId="2">#REF!</definedName>
    <definedName name="_VaR10">#REF!</definedName>
    <definedName name="_VAR2" localSheetId="2">#REF!</definedName>
    <definedName name="_VAR2">#REF!</definedName>
    <definedName name="_VAR3" localSheetId="2">#REF!</definedName>
    <definedName name="_VAR3">#REF!</definedName>
    <definedName name="_vd1" localSheetId="2">#REF!</definedName>
    <definedName name="_vd1">#REF!</definedName>
    <definedName name="_vd2" localSheetId="2">#REF!</definedName>
    <definedName name="_vd2">#REF!</definedName>
    <definedName name="_vvd1">[3]TreePricer!$C$26</definedName>
    <definedName name="_wd1">[3]TreePricer!$C$27</definedName>
    <definedName name="_xd1">[4]HedgingSimulation!$C$14</definedName>
    <definedName name="_xd2">[4]HedgingSimulation!$C$15</definedName>
    <definedName name="AccrCell" localSheetId="2">#REF!</definedName>
    <definedName name="AccrCell">#REF!</definedName>
    <definedName name="AccrChoice" localSheetId="2">#REF!</definedName>
    <definedName name="AccrChoice">#REF!</definedName>
    <definedName name="AccruedCell" localSheetId="2">#REF!</definedName>
    <definedName name="AccruedCell">#REF!</definedName>
    <definedName name="AccruedChoice" localSheetId="2">#REF!</definedName>
    <definedName name="AccruedChoice">#REF!</definedName>
    <definedName name="AccruedInterest">'[5]Bond Price with Excel'!$B$24</definedName>
    <definedName name="AccruedOptions" localSheetId="2">#REF!</definedName>
    <definedName name="AccruedOptions">#REF!</definedName>
    <definedName name="AccruedOrNot" localSheetId="2">#REF!</definedName>
    <definedName name="AccruedOrNot">#REF!</definedName>
    <definedName name="AccruedPrem" localSheetId="2">#REF!</definedName>
    <definedName name="AccruedPrem">#REF!</definedName>
    <definedName name="AccruedYesNo" localSheetId="2">#REF!</definedName>
    <definedName name="AccruedYesNo">#REF!</definedName>
    <definedName name="Accured" localSheetId="2">#REF!</definedName>
    <definedName name="Accured">#REF!</definedName>
    <definedName name="ActIntensity1" localSheetId="2">[6]CVA!#REF!</definedName>
    <definedName name="ActIntensity1">[6]CVA!#REF!</definedName>
    <definedName name="ActIntensity2" localSheetId="2">[6]CVA!#REF!</definedName>
    <definedName name="ActIntensity2">[6]CVA!#REF!</definedName>
    <definedName name="ActMat" localSheetId="2">#REF!</definedName>
    <definedName name="ActMat">#REF!</definedName>
    <definedName name="Actual_Rating_11" localSheetId="2">#REF!</definedName>
    <definedName name="Actual_Rating_11">#REF!</definedName>
    <definedName name="AgentRec" localSheetId="2">[2]CVA!#REF!</definedName>
    <definedName name="AgentRec">[2]CVA!#REF!</definedName>
    <definedName name="AllRandomNumbers" localSheetId="2">#REF!</definedName>
    <definedName name="AllRandomNumbers">#REF!</definedName>
    <definedName name="Alpha" localSheetId="0">Spreadsheet10.1!#REF!</definedName>
    <definedName name="Alpha" localSheetId="1">Spreadsheet10.2!#REF!</definedName>
    <definedName name="Alpha" localSheetId="2">'Spreadsheet10.3 (new)'!#REF!</definedName>
    <definedName name="Alpha">#REF!</definedName>
    <definedName name="AlphaEPE">[2]Portfolio!$J$9</definedName>
    <definedName name="AlphaParam" localSheetId="2">#REF!</definedName>
    <definedName name="AlphaParam">#REF!</definedName>
    <definedName name="AmortChoice" localSheetId="2">#REF!</definedName>
    <definedName name="AmortChoice">#REF!</definedName>
    <definedName name="Amortisation" localSheetId="2">#REF!</definedName>
    <definedName name="Amortisation">#REF!</definedName>
    <definedName name="AmortisedTime" localSheetId="2">#REF!</definedName>
    <definedName name="AmortisedTime">#REF!</definedName>
    <definedName name="Amortising" localSheetId="2">#REF!</definedName>
    <definedName name="Amortising">#REF!</definedName>
    <definedName name="Amortizing" localSheetId="2">#REF!</definedName>
    <definedName name="Amortizing">#REF!</definedName>
    <definedName name="AmortOrNot" localSheetId="2">#REF!</definedName>
    <definedName name="AmortOrNot">#REF!</definedName>
    <definedName name="amount1">[7]SimpleCovarianceWithWeights!$J$3</definedName>
    <definedName name="amount2">[7]SimpleCovarianceWithWeights!$K$3</definedName>
    <definedName name="AmountToLiquidate" localSheetId="2">#REF!</definedName>
    <definedName name="AmountToLiquidate">#REF!</definedName>
    <definedName name="AnalyticalDeltas" localSheetId="2">#REF!</definedName>
    <definedName name="AnalyticalDeltas">#REF!</definedName>
    <definedName name="Asset2" localSheetId="2">[8]MonteCarlo!#REF!</definedName>
    <definedName name="Asset2">[8]MonteCarlo!#REF!</definedName>
    <definedName name="AssetCorrelation">[2]Portfolio!$J$11</definedName>
    <definedName name="AssetMC">[8]MonteCarlo!$C$3</definedName>
    <definedName name="AssetPrice" localSheetId="2">#REF!</definedName>
    <definedName name="AssetPrice">#REF!</definedName>
    <definedName name="AssetVal" localSheetId="2">#REF!</definedName>
    <definedName name="AssetVal">#REF!</definedName>
    <definedName name="AssetValue" localSheetId="2">#REF!</definedName>
    <definedName name="AssetValue">#REF!</definedName>
    <definedName name="Assetvol">[9]CreditGrades!$C$19</definedName>
    <definedName name="AssetVolatility" localSheetId="2">#REF!</definedName>
    <definedName name="AssetVolatility">#REF!</definedName>
    <definedName name="At">[9]CreditGrades!$C$20</definedName>
    <definedName name="Attach" localSheetId="2">#REF!</definedName>
    <definedName name="Attach">#REF!</definedName>
    <definedName name="Attach2" localSheetId="2">#REF!</definedName>
    <definedName name="Attach2">#REF!</definedName>
    <definedName name="AvDefProb">[9]Portfolio!$J$16</definedName>
    <definedName name="AvRecovery" localSheetId="2">[9]Portfolio!#REF!</definedName>
    <definedName name="AvRecovery">[9]Portfolio!#REF!</definedName>
    <definedName name="AvSpread">[10]IndexBasis!$I$10</definedName>
    <definedName name="AvSpread2" localSheetId="2">#REF!</definedName>
    <definedName name="AvSpread2">#REF!</definedName>
    <definedName name="Barrier">[4]OptionPricer!$C$20</definedName>
    <definedName name="BaseCorrel1" localSheetId="2">#REF!</definedName>
    <definedName name="BaseCorrel1">#REF!</definedName>
    <definedName name="BaseCorrel2" localSheetId="2">#REF!</definedName>
    <definedName name="BaseCorrel2">#REF!</definedName>
    <definedName name="BaseCorrelComb" localSheetId="2">#REF!</definedName>
    <definedName name="BaseCorrelComb">#REF!</definedName>
    <definedName name="BaseCorrelCurve" localSheetId="2">#REF!</definedName>
    <definedName name="BaseCorrelCurve">#REF!</definedName>
    <definedName name="BaseCorrelEUR" localSheetId="2">#REF!</definedName>
    <definedName name="BaseCorrelEUR">#REF!</definedName>
    <definedName name="BaseCorrelUS" localSheetId="2">#REF!</definedName>
    <definedName name="BaseCorrelUS">#REF!</definedName>
    <definedName name="BaseCorrEuro" localSheetId="2">#REF!</definedName>
    <definedName name="BaseCorrEuro">#REF!</definedName>
    <definedName name="BaseCorrUS" localSheetId="2">#REF!</definedName>
    <definedName name="BaseCorrUS">#REF!</definedName>
    <definedName name="Basis" localSheetId="2">#REF!</definedName>
    <definedName name="Basis">#REF!</definedName>
    <definedName name="Basis1" localSheetId="2">#REF!</definedName>
    <definedName name="Basis1">#REF!</definedName>
    <definedName name="Basis2" localSheetId="2">#REF!</definedName>
    <definedName name="Basis2">#REF!</definedName>
    <definedName name="BasisChoices" localSheetId="2">#REF!</definedName>
    <definedName name="BasisChoices">#REF!</definedName>
    <definedName name="BasisIndex" localSheetId="2">#REF!</definedName>
    <definedName name="BasisIndex">#REF!</definedName>
    <definedName name="BasisTable1" localSheetId="2">#REF!</definedName>
    <definedName name="BasisTable1">#REF!</definedName>
    <definedName name="BasisTable2" localSheetId="2">#REF!</definedName>
    <definedName name="BasisTable2">#REF!</definedName>
    <definedName name="BasketPV" localSheetId="2">#REF!</definedName>
    <definedName name="BasketPV">#REF!</definedName>
    <definedName name="BasketType" localSheetId="2">#REF!</definedName>
    <definedName name="BasketType">#REF!</definedName>
    <definedName name="bBasis" localSheetId="2">#REF!</definedName>
    <definedName name="bBasis">#REF!</definedName>
    <definedName name="bBasisIndex" localSheetId="2">#REF!</definedName>
    <definedName name="bBasisIndex">#REF!</definedName>
    <definedName name="BCorrel" localSheetId="2">#REF!</definedName>
    <definedName name="BCorrel">#REF!</definedName>
    <definedName name="Beta" localSheetId="2">#REF!</definedName>
    <definedName name="Beta">#REF!</definedName>
    <definedName name="bFreq" localSheetId="2">#REF!</definedName>
    <definedName name="bFreq">#REF!</definedName>
    <definedName name="bFreqIndex" localSheetId="2">#REF!</definedName>
    <definedName name="bFreqIndex">#REF!</definedName>
    <definedName name="BID" localSheetId="2">#REF!</definedName>
    <definedName name="BID">#REF!</definedName>
    <definedName name="bilateral_penalty" localSheetId="2">#REF!</definedName>
    <definedName name="bilateral_penalty">#REF!</definedName>
    <definedName name="bilaterla_penalty" localSheetId="2">#REF!</definedName>
    <definedName name="bilaterla_penalty">#REF!</definedName>
    <definedName name="blank_ref_cell" localSheetId="2">#REF!</definedName>
    <definedName name="blank_ref_cell">#REF!</definedName>
    <definedName name="bMatDate" localSheetId="2">#REF!</definedName>
    <definedName name="bMatDate">#REF!</definedName>
    <definedName name="Bond_Data_11" localSheetId="2">#REF!</definedName>
    <definedName name="Bond_Data_11">#REF!</definedName>
    <definedName name="BondDeltaApprox" localSheetId="2">#REF!</definedName>
    <definedName name="BondDeltaApprox">#REF!</definedName>
    <definedName name="BondDeltaApprox2" localSheetId="2">#REF!</definedName>
    <definedName name="BondDeltaApprox2">#REF!</definedName>
    <definedName name="BondDuration" localSheetId="2">#REF!</definedName>
    <definedName name="BondDuration">#REF!</definedName>
    <definedName name="BondMaturity" localSheetId="2">#REF!</definedName>
    <definedName name="BondMaturity">#REF!</definedName>
    <definedName name="BondPrice" localSheetId="2">#REF!</definedName>
    <definedName name="BondPrice">#REF!</definedName>
    <definedName name="BondPrice_11" localSheetId="2">#REF!</definedName>
    <definedName name="BondPrice_11">#REF!</definedName>
    <definedName name="BondPriceNow" localSheetId="2">#REF!</definedName>
    <definedName name="BondPriceNow">#REF!</definedName>
    <definedName name="bRecovery" localSheetId="2">#REF!</definedName>
    <definedName name="bRecovery">#REF!</definedName>
    <definedName name="BumpType" localSheetId="2">#REF!</definedName>
    <definedName name="BumpType">#REF!</definedName>
    <definedName name="BuyFrom" localSheetId="2">#REF!</definedName>
    <definedName name="BuyFrom">#REF!</definedName>
    <definedName name="CalChoices" localSheetId="2">#REF!</definedName>
    <definedName name="CalChoices">#REF!</definedName>
    <definedName name="CalChoose" localSheetId="2">#REF!</definedName>
    <definedName name="CalChoose">#REF!</definedName>
    <definedName name="CalcOptions" localSheetId="2">#REF!</definedName>
    <definedName name="CalcOptions">#REF!</definedName>
    <definedName name="CalcTypeIndex" localSheetId="2">#REF!</definedName>
    <definedName name="CalcTypeIndex">#REF!</definedName>
    <definedName name="CalcTypeOption" localSheetId="2">#REF!</definedName>
    <definedName name="CalcTypeOption">#REF!</definedName>
    <definedName name="CalculationType" localSheetId="2">#REF!</definedName>
    <definedName name="CalculationType">#REF!</definedName>
    <definedName name="CalibChoice" localSheetId="2">#REF!</definedName>
    <definedName name="CalibChoice">#REF!</definedName>
    <definedName name="CalibChoices" localSheetId="2">#REF!</definedName>
    <definedName name="CalibChoices">#REF!</definedName>
    <definedName name="calibopencol" localSheetId="2">OFFSET('Spreadsheet10.3 (new)'!LGMChoice,2,0,'Spreadsheet10.3 (new)'!NumLGMChoices,1)</definedName>
    <definedName name="calibopencol">OFFSET([0]!LGMChoice,2,0,[0]!NumLGMChoices,1)</definedName>
    <definedName name="calibopencol1" localSheetId="2">OFFSET('Spreadsheet10.3 (new)'!LGMChoice,2,0,'Spreadsheet10.3 (new)'!NumLGMChoices,1)</definedName>
    <definedName name="calibopencol1">OFFSET([0]!LGMChoice,2,0,[0]!NumLGMChoices,1)</definedName>
    <definedName name="CalibPoints" localSheetId="2">#REF!</definedName>
    <definedName name="CalibPoints">#REF!</definedName>
    <definedName name="Calibration" localSheetId="2">#REF!</definedName>
    <definedName name="Calibration">#REF!</definedName>
    <definedName name="CalibrationChoices" localSheetId="2">#REF!</definedName>
    <definedName name="CalibrationChoices">#REF!</definedName>
    <definedName name="CalibrationMode" localSheetId="2">#REF!</definedName>
    <definedName name="CalibrationMode">#REF!</definedName>
    <definedName name="CalibrationResults" localSheetId="2">#REF!</definedName>
    <definedName name="CalibrationResults">#REF!</definedName>
    <definedName name="CalibrationType" localSheetId="2">#REF!</definedName>
    <definedName name="CalibrationType">#REF!</definedName>
    <definedName name="CalibType" localSheetId="2">#REF!</definedName>
    <definedName name="CalibType">#REF!</definedName>
    <definedName name="CaliCell" localSheetId="2">#REF!</definedName>
    <definedName name="CaliCell">#REF!</definedName>
    <definedName name="CaliChoice" localSheetId="2">#REF!</definedName>
    <definedName name="CaliChoice">#REF!</definedName>
    <definedName name="CallPut" localSheetId="2">#REF!</definedName>
    <definedName name="CallPut">#REF!</definedName>
    <definedName name="CallRetYesNo">[2]CollateralMarginCall!$C$14</definedName>
    <definedName name="CallYesNo" localSheetId="2">#REF!</definedName>
    <definedName name="CallYesNo">#REF!</definedName>
    <definedName name="CallYesNo2" localSheetId="2">#REF!</definedName>
    <definedName name="CallYesNo2">#REF!</definedName>
    <definedName name="CancellableCDSPrem">[1]BlackModel!$D$14</definedName>
    <definedName name="CancelOption">[1]BlackModel!$D$24</definedName>
    <definedName name="cBasis" localSheetId="2">#REF!</definedName>
    <definedName name="cBasis">#REF!</definedName>
    <definedName name="cBasisIndex" localSheetId="2">#REF!</definedName>
    <definedName name="cBasisIndex">#REF!</definedName>
    <definedName name="CCY" localSheetId="2">#REF!</definedName>
    <definedName name="CCY">#REF!</definedName>
    <definedName name="CDODef" localSheetId="2">#REF!</definedName>
    <definedName name="CDODef">#REF!</definedName>
    <definedName name="CDODef2" localSheetId="2">#REF!</definedName>
    <definedName name="CDODef2">#REF!</definedName>
    <definedName name="CDOPrem" localSheetId="2">#REF!</definedName>
    <definedName name="CDOPrem">#REF!</definedName>
    <definedName name="CDOPrem2" localSheetId="2">#REF!</definedName>
    <definedName name="CDOPrem2">#REF!</definedName>
    <definedName name="CDOPV" localSheetId="2">#REF!</definedName>
    <definedName name="CDOPV">#REF!</definedName>
    <definedName name="CDOPV2" localSheetId="2">#REF!</definedName>
    <definedName name="CDOPV2">#REF!</definedName>
    <definedName name="CDSMarket" localSheetId="2">#REF!</definedName>
    <definedName name="CDSMarket">#REF!</definedName>
    <definedName name="CDSPremium">[1]BlackModel!$D$13</definedName>
    <definedName name="CDSPV" localSheetId="2">#REF!</definedName>
    <definedName name="CDSPV">#REF!</definedName>
    <definedName name="cFreq" localSheetId="2">#REF!</definedName>
    <definedName name="cFreq">#REF!</definedName>
    <definedName name="cFreqIndex" localSheetId="2">#REF!</definedName>
    <definedName name="cFreqIndex">#REF!</definedName>
    <definedName name="CholeskyInverse" localSheetId="2">#REF!</definedName>
    <definedName name="CholeskyInverse">#REF!</definedName>
    <definedName name="CholeskyMatrix" localSheetId="2">#REF!</definedName>
    <definedName name="CholeskyMatrix">#REF!</definedName>
    <definedName name="CleanPrice">'[5]Bond Price with Excel'!$B$23</definedName>
    <definedName name="cMatDate" localSheetId="2">#REF!</definedName>
    <definedName name="cMatDate">#REF!</definedName>
    <definedName name="CntrptyDefProb">[2]CDSCntrptyRisk!$C$14</definedName>
    <definedName name="CntrptyRec" localSheetId="2">[2]CVA!#REF!</definedName>
    <definedName name="CntrptyRec">[2]CVA!#REF!</definedName>
    <definedName name="CntrptySpread">[2]CDSCntrptyRisk!$C$8</definedName>
    <definedName name="Collateral" localSheetId="1">Spreadsheet10.2!$L$131</definedName>
    <definedName name="Collateral" localSheetId="2">'Spreadsheet10.3 (new)'!$L$137</definedName>
    <definedName name="Collateral">Spreadsheet10.1!$L$137</definedName>
    <definedName name="CollateralChoice" localSheetId="2">#REF!</definedName>
    <definedName name="CollateralChoice">#REF!</definedName>
    <definedName name="CollateralChoices" localSheetId="2">#REF!</definedName>
    <definedName name="CollateralChoices">#REF!</definedName>
    <definedName name="CollateralHeld">[2]CollateralMarginCall!$C$9</definedName>
    <definedName name="CollateralHeld2" localSheetId="2">#REF!</definedName>
    <definedName name="CollateralHeld2">#REF!</definedName>
    <definedName name="CollateralisedExposure" localSheetId="1">Spreadsheet10.2!$L$258</definedName>
    <definedName name="CollateralisedExposure" localSheetId="2">'Spreadsheet10.3 (new)'!$L$264</definedName>
    <definedName name="CollateralisedExposure">Spreadsheet10.1!$L$264</definedName>
    <definedName name="CollateralMultiplier" localSheetId="2">#REF!</definedName>
    <definedName name="CollateralMultiplier">#REF!</definedName>
    <definedName name="CollateralRequired">[2]CollateralMarginCall!$C$13</definedName>
    <definedName name="CollateralRequired2" localSheetId="2">#REF!</definedName>
    <definedName name="CollateralRequired2">#REF!</definedName>
    <definedName name="CollateralThreshold" localSheetId="2">#REF!</definedName>
    <definedName name="CollateralThreshold">#REF!</definedName>
    <definedName name="CollateralType" localSheetId="2">#REF!</definedName>
    <definedName name="CollateralType">#REF!</definedName>
    <definedName name="CompoundCorrel" localSheetId="2">#REF!</definedName>
    <definedName name="CompoundCorrel">#REF!</definedName>
    <definedName name="ComputCreditPort" localSheetId="2">#REF!</definedName>
    <definedName name="ComputCreditPort">#REF!</definedName>
    <definedName name="ConfidenceAlpha">[2]Portfolio!$J$8</definedName>
    <definedName name="Constaints" localSheetId="2">#REF!</definedName>
    <definedName name="Constaints">#REF!</definedName>
    <definedName name="Constant">[4]CoherentRiskMeasuresExample!$I$7</definedName>
    <definedName name="Constr" localSheetId="2">#REF!</definedName>
    <definedName name="Constr">#REF!</definedName>
    <definedName name="ConstTerm">[8]MonteCarlo!$F$6</definedName>
    <definedName name="CopulaCorrelation">[2]CDSCntrptyRisk!$C$9</definedName>
    <definedName name="CorP" localSheetId="2">#REF!</definedName>
    <definedName name="CorP">#REF!</definedName>
    <definedName name="Corr" localSheetId="2">#REF!</definedName>
    <definedName name="Corr">#REF!</definedName>
    <definedName name="CorrectionTerm">'[2]Impact of PV'!$C$22</definedName>
    <definedName name="CORRECTPASSWORD" localSheetId="2">#REF!</definedName>
    <definedName name="CORRECTPASSWORD">#REF!</definedName>
    <definedName name="Correl" localSheetId="2">#REF!</definedName>
    <definedName name="Correl">#REF!</definedName>
    <definedName name="Correlation">[9]Portfolio!$J$13</definedName>
    <definedName name="Correlation_Matrix_11" localSheetId="2">#REF!</definedName>
    <definedName name="Correlation_Matrix_11">#REF!</definedName>
    <definedName name="CorrelationMatrix" localSheetId="2">#REF!</definedName>
    <definedName name="CorrelationMatrix">#REF!</definedName>
    <definedName name="CorrelAttach" localSheetId="2">#REF!</definedName>
    <definedName name="CorrelAttach">#REF!</definedName>
    <definedName name="CorrelAttach2" localSheetId="2">#REF!</definedName>
    <definedName name="CorrelAttach2">#REF!</definedName>
    <definedName name="CorrelBump" localSheetId="2">#REF!</definedName>
    <definedName name="CorrelBump">#REF!</definedName>
    <definedName name="CorrelDetach" localSheetId="2">#REF!</definedName>
    <definedName name="CorrelDetach">#REF!</definedName>
    <definedName name="CorrelDetach2" localSheetId="2">#REF!</definedName>
    <definedName name="CorrelDetach2">#REF!</definedName>
    <definedName name="CorrelExpColl" localSheetId="2">#REF!</definedName>
    <definedName name="CorrelExpColl">#REF!</definedName>
    <definedName name="CorrelLowerTranche" localSheetId="2">#REF!</definedName>
    <definedName name="CorrelLowerTranche">#REF!</definedName>
    <definedName name="CorrelScenario" localSheetId="2">#REF!</definedName>
    <definedName name="CorrelScenario">#REF!</definedName>
    <definedName name="CorrelUpperTranche" localSheetId="2">#REF!</definedName>
    <definedName name="CorrelUpperTranche">#REF!</definedName>
    <definedName name="Countries" localSheetId="2">#REF!</definedName>
    <definedName name="Countries">#REF!</definedName>
    <definedName name="Country_Key" localSheetId="2">#REF!</definedName>
    <definedName name="Country_Key">#REF!</definedName>
    <definedName name="Country_Name" localSheetId="2">#REF!</definedName>
    <definedName name="Country_Name">#REF!</definedName>
    <definedName name="Country_Rating" localSheetId="2">#REF!</definedName>
    <definedName name="Country_Rating">#REF!</definedName>
    <definedName name="Country_Region" localSheetId="2">#REF!</definedName>
    <definedName name="Country_Region">#REF!</definedName>
    <definedName name="Coup">[5]YieldExample!$C$4</definedName>
    <definedName name="Coupon">'[5]Bond Price with Excel'!$B$12</definedName>
    <definedName name="CouponsPerYear">'[5]Bond Price with Excel'!$B$15</definedName>
    <definedName name="CovarianceMatrix" localSheetId="2">#REF!</definedName>
    <definedName name="CovarianceMatrix">#REF!</definedName>
    <definedName name="CovarianceMatrixInverse">[5]MeanVariance!$G$11:$J$14</definedName>
    <definedName name="CPCHOICES" localSheetId="2">#REF!</definedName>
    <definedName name="CPCHOICES">#REF!</definedName>
    <definedName name="cpIndex" localSheetId="2">#REF!</definedName>
    <definedName name="cpIndex">#REF!</definedName>
    <definedName name="cRecovery" localSheetId="2">#REF!</definedName>
    <definedName name="cRecovery">#REF!</definedName>
    <definedName name="CREDIT_STAMP">"DSPricer"</definedName>
    <definedName name="CreditCurve">'Spreadsheet10.3 (new)'!$C$11</definedName>
    <definedName name="CreditCurveStart" localSheetId="2">#REF!</definedName>
    <definedName name="CreditCurveStart">#REF!</definedName>
    <definedName name="CreditModel" localSheetId="2">#REF!</definedName>
    <definedName name="CreditModel">#REF!</definedName>
    <definedName name="CreditModelType" localSheetId="2">#REF!</definedName>
    <definedName name="CreditModelType">#REF!</definedName>
    <definedName name="CreditTau" localSheetId="2">#REF!</definedName>
    <definedName name="CreditTau">#REF!</definedName>
    <definedName name="CreditVol" localSheetId="2">#REF!</definedName>
    <definedName name="CreditVol">#REF!</definedName>
    <definedName name="Currency" localSheetId="2">#REF!</definedName>
    <definedName name="Currency">#REF!</definedName>
    <definedName name="currency_mismatch_penalty" localSheetId="2">#REF!</definedName>
    <definedName name="currency_mismatch_penalty">#REF!</definedName>
    <definedName name="CurrentEquity">[3]TradingStrategy!$C$8</definedName>
    <definedName name="CurrentExposure" localSheetId="2">#REF!</definedName>
    <definedName name="CurrentExposure">#REF!</definedName>
    <definedName name="CurrentSpread">[3]TradingStrategy!$C$9</definedName>
    <definedName name="CurrentStock">[3]TreePricer!$C$14</definedName>
    <definedName name="CURVE_INDEX" localSheetId="2">#REF!</definedName>
    <definedName name="CURVE_INDEX">#REF!</definedName>
    <definedName name="CURVE_LIST" localSheetId="2">#REF!</definedName>
    <definedName name="CURVE_LIST">#REF!</definedName>
    <definedName name="DailyVol" localSheetId="2">#REF!</definedName>
    <definedName name="DailyVol">#REF!</definedName>
    <definedName name="DailyVol2" localSheetId="2">#REF!</definedName>
    <definedName name="DailyVol2">#REF!</definedName>
    <definedName name="DailyVolatility" localSheetId="2">#REF!</definedName>
    <definedName name="DailyVolatility">#REF!</definedName>
    <definedName name="DateToday" localSheetId="2">#REF!</definedName>
    <definedName name="DateToday">#REF!</definedName>
    <definedName name="DayCount" localSheetId="2">'[5]Bond Price with Excel'!#REF!</definedName>
    <definedName name="DayCount">'[5]Bond Price with Excel'!#REF!</definedName>
    <definedName name="DaysToLiquidation" localSheetId="2">#REF!</definedName>
    <definedName name="DaysToLiquidation">#REF!</definedName>
    <definedName name="DealTerm" localSheetId="2">#REF!</definedName>
    <definedName name="DealTerm">#REF!</definedName>
    <definedName name="Debt">[9]Merton!$C$21</definedName>
    <definedName name="DebtPerShare" localSheetId="2">#REF!</definedName>
    <definedName name="DebtPerShare">#REF!</definedName>
    <definedName name="DefaultBarrier" localSheetId="2">#REF!</definedName>
    <definedName name="DefaultBarrier">#REF!</definedName>
    <definedName name="DefaultLoss" localSheetId="2">#REF!</definedName>
    <definedName name="DefaultLoss">#REF!</definedName>
    <definedName name="DefaultProb" localSheetId="2">#REF!</definedName>
    <definedName name="DefaultProb">#REF!</definedName>
    <definedName name="DefaultTime" localSheetId="2">#REF!</definedName>
    <definedName name="DefaultTime">#REF!</definedName>
    <definedName name="DefComp" localSheetId="2">#REF!</definedName>
    <definedName name="DefComp">#REF!</definedName>
    <definedName name="DefEventLoss" localSheetId="2">#REF!</definedName>
    <definedName name="DefEventLoss">#REF!</definedName>
    <definedName name="DefLegLowerTranche" localSheetId="2">#REF!</definedName>
    <definedName name="DefLegLowerTranche">#REF!</definedName>
    <definedName name="DefLegUpperTranche" localSheetId="2">#REF!</definedName>
    <definedName name="DefLegUpperTranche">#REF!</definedName>
    <definedName name="DefProb" localSheetId="2">#REF!</definedName>
    <definedName name="DefProb">#REF!</definedName>
    <definedName name="DefProb1" localSheetId="2">#REF!</definedName>
    <definedName name="DefProb1">#REF!</definedName>
    <definedName name="DefProb2" localSheetId="2">#REF!</definedName>
    <definedName name="DefProb2">#REF!</definedName>
    <definedName name="DefProb3" localSheetId="2">#REF!</definedName>
    <definedName name="DefProb3">#REF!</definedName>
    <definedName name="DefProb4" localSheetId="2">#REF!</definedName>
    <definedName name="DefProb4">#REF!</definedName>
    <definedName name="DefProb5" localSheetId="2">#REF!</definedName>
    <definedName name="DefProb5">#REF!</definedName>
    <definedName name="DefProbs">[9]Portfolio!$E$10</definedName>
    <definedName name="DefThreshold" localSheetId="2">#REF!</definedName>
    <definedName name="DefThreshold">#REF!</definedName>
    <definedName name="delay" localSheetId="2">#REF!</definedName>
    <definedName name="delay">#REF!</definedName>
    <definedName name="deliveredvol">[4]HedgingSimulation!$G$8</definedName>
    <definedName name="Delta" localSheetId="2">#REF!</definedName>
    <definedName name="Delta">#REF!</definedName>
    <definedName name="DeltaApprox2" localSheetId="2">#REF!</definedName>
    <definedName name="DeltaApprox2">#REF!</definedName>
    <definedName name="DeltaBump" localSheetId="2">#REF!</definedName>
    <definedName name="DeltaBump">#REF!</definedName>
    <definedName name="DeltaShift" localSheetId="2">#REF!</definedName>
    <definedName name="DeltaShift">#REF!</definedName>
    <definedName name="DeltaStart" localSheetId="2">#REF!</definedName>
    <definedName name="DeltaStart">#REF!</definedName>
    <definedName name="Detach" localSheetId="2">#REF!</definedName>
    <definedName name="Detach">#REF!</definedName>
    <definedName name="Detach2" localSheetId="2">#REF!</definedName>
    <definedName name="Detach2">#REF!</definedName>
    <definedName name="DFSCurve" localSheetId="2">#REF!</definedName>
    <definedName name="DFSCurve">#REF!</definedName>
    <definedName name="DFSSheets" localSheetId="2">#REF!</definedName>
    <definedName name="DFSSheets">#REF!</definedName>
    <definedName name="DirtyPrice">'[5]Bond Price with Excel'!$B$25</definedName>
    <definedName name="DividendYield" localSheetId="2">#REF!</definedName>
    <definedName name="DividendYield">#REF!</definedName>
    <definedName name="DivYield" localSheetId="2">#REF!</definedName>
    <definedName name="DivYield">#REF!</definedName>
    <definedName name="DL" localSheetId="2">#REF!</definedName>
    <definedName name="DL">#REF!</definedName>
    <definedName name="DperS" localSheetId="2">#REF!</definedName>
    <definedName name="DperS">#REF!</definedName>
    <definedName name="dPV" localSheetId="2">#REF!</definedName>
    <definedName name="dPV">#REF!</definedName>
    <definedName name="Draws">[4]BinomialVsNormal!$C$7</definedName>
    <definedName name="Drift" localSheetId="2">#REF!</definedName>
    <definedName name="Drift">#REF!</definedName>
    <definedName name="drift2">[11]HedgingSimulation!$G$7</definedName>
    <definedName name="Dt">[8]MonteCarlo!$F$5</definedName>
    <definedName name="DTDays" localSheetId="2">#REF!</definedName>
    <definedName name="DTDays">#REF!</definedName>
    <definedName name="DTMarketPrem" localSheetId="2">#REF!</definedName>
    <definedName name="DTMarketPrem">#REF!</definedName>
    <definedName name="Dump">[2]MonteCarlo!$N$2</definedName>
    <definedName name="Duration">'[5]Bond Price with Excel'!$B$27</definedName>
    <definedName name="DurationIndex" localSheetId="2">#REF!</definedName>
    <definedName name="DurationIndex">#REF!</definedName>
    <definedName name="Dval">[9]CreditGrades!$C$15</definedName>
    <definedName name="EE" localSheetId="0">Spreadsheet10.1!#REF!</definedName>
    <definedName name="EE" localSheetId="1">Spreadsheet10.2!#REF!</definedName>
    <definedName name="EE" localSheetId="2">'Spreadsheet10.3 (new)'!#REF!</definedName>
    <definedName name="EE">#REF!</definedName>
    <definedName name="EL" localSheetId="2">#REF!</definedName>
    <definedName name="EL">#REF!</definedName>
    <definedName name="EL_E2" localSheetId="2">#REF!</definedName>
    <definedName name="EL_E2">#REF!</definedName>
    <definedName name="ELBaseTranche1" localSheetId="2">#REF!</definedName>
    <definedName name="ELBaseTranche1">#REF!</definedName>
    <definedName name="ELBaseTranche2" localSheetId="2">#REF!</definedName>
    <definedName name="ELBaseTranche2">#REF!</definedName>
    <definedName name="end_date" localSheetId="2">#REF!</definedName>
    <definedName name="end_date">#REF!</definedName>
    <definedName name="EndDate" localSheetId="2">#REF!</definedName>
    <definedName name="EndDate">#REF!</definedName>
    <definedName name="EPE">[2]EPEAllocation!$C$19</definedName>
    <definedName name="EPEs">[2]Portfolio!$G$8</definedName>
    <definedName name="Equity" localSheetId="2">#REF!</definedName>
    <definedName name="Equity">#REF!</definedName>
    <definedName name="EquityPrice" localSheetId="2">#REF!</definedName>
    <definedName name="EquityPrice">#REF!</definedName>
    <definedName name="EquityVol" localSheetId="2">#REF!</definedName>
    <definedName name="EquityVol">#REF!</definedName>
    <definedName name="Error1" localSheetId="2">#REF!</definedName>
    <definedName name="Error1">#REF!</definedName>
    <definedName name="Errors">[2]CDSStripper!$H$9</definedName>
    <definedName name="ESCNA">[9]ConditionalNormalApproximation!$C$11</definedName>
    <definedName name="EstBeta" localSheetId="2">#REF!</definedName>
    <definedName name="EstBeta">#REF!</definedName>
    <definedName name="EURExpLoss" localSheetId="2">#REF!</definedName>
    <definedName name="EURExpLoss">#REF!</definedName>
    <definedName name="EuropeWeight" localSheetId="2">#REF!</definedName>
    <definedName name="EuropeWeight">#REF!</definedName>
    <definedName name="EuropeWeightOveride" localSheetId="2">#REF!</definedName>
    <definedName name="EuropeWeightOveride">#REF!</definedName>
    <definedName name="ExcessReturn" localSheetId="2">#REF!</definedName>
    <definedName name="ExcessReturn">#REF!</definedName>
    <definedName name="ExchangeNotional" localSheetId="2">#REF!</definedName>
    <definedName name="ExchangeNotional">#REF!</definedName>
    <definedName name="ExerciseFreq" localSheetId="2">#REF!</definedName>
    <definedName name="ExerciseFreq">#REF!</definedName>
    <definedName name="ExerciseOptions" localSheetId="2">#REF!</definedName>
    <definedName name="ExerciseOptions">#REF!</definedName>
    <definedName name="ExerciseType" localSheetId="2">#REF!</definedName>
    <definedName name="ExerciseType">#REF!</definedName>
    <definedName name="ExerFreqChoice" localSheetId="2">#REF!</definedName>
    <definedName name="ExerFreqChoice">#REF!</definedName>
    <definedName name="ExerTypeIndex" localSheetId="2">#REF!</definedName>
    <definedName name="ExerTypeIndex">#REF!</definedName>
    <definedName name="Expiry" localSheetId="2">#REF!</definedName>
    <definedName name="Expiry">#REF!</definedName>
    <definedName name="ExpLoss" localSheetId="2">#REF!</definedName>
    <definedName name="ExpLoss">#REF!</definedName>
    <definedName name="ExpLoss1" localSheetId="2">#REF!</definedName>
    <definedName name="ExpLoss1">#REF!</definedName>
    <definedName name="ExpLoss2" localSheetId="2">#REF!</definedName>
    <definedName name="ExpLoss2">#REF!</definedName>
    <definedName name="Exposure" localSheetId="1">Spreadsheet10.2!$M$4</definedName>
    <definedName name="Exposure" localSheetId="2">'Spreadsheet10.3 (new)'!$M$10</definedName>
    <definedName name="Exposure">Spreadsheet10.1!$M$10</definedName>
    <definedName name="Exposure2" localSheetId="2">#REF!</definedName>
    <definedName name="Exposure2">#REF!</definedName>
    <definedName name="ExposurePaths" localSheetId="2">#REF!</definedName>
    <definedName name="ExposurePaths">#REF!</definedName>
    <definedName name="ExposurePaths2" localSheetId="2">#REF!</definedName>
    <definedName name="ExposurePaths2">#REF!</definedName>
    <definedName name="Exposures">[2]Portfolio!$E$8</definedName>
    <definedName name="ExposureStart" localSheetId="2">#REF!</definedName>
    <definedName name="ExposureStart">#REF!</definedName>
    <definedName name="ExposureVol">[2]CollateralMarginCall!$G$6</definedName>
    <definedName name="ExpRetVector">[5]MeanVariance!$D$3:$D$6</definedName>
    <definedName name="ExpShortfall">[9]PortfolioAnalysis!$C$12</definedName>
    <definedName name="external_costs" localSheetId="2">#REF!</definedName>
    <definedName name="external_costs">#REF!</definedName>
    <definedName name="EXTRAINFO" localSheetId="2">#REF!</definedName>
    <definedName name="EXTRAINFO">#REF!</definedName>
    <definedName name="FaceValue" localSheetId="2">#REF!</definedName>
    <definedName name="FaceValue">#REF!</definedName>
    <definedName name="FairPremium" localSheetId="2">#REF!</definedName>
    <definedName name="FairPremium">#REF!</definedName>
    <definedName name="FFChoice" localSheetId="2">#REF!</definedName>
    <definedName name="FFChoice">#REF!</definedName>
    <definedName name="FinalIssCurveRange" localSheetId="2">OFFSET(#REF!,1,0,#REF!,1)</definedName>
    <definedName name="FinalIssCurveRange">OFFSET(#REF!,1,0,#REF!,1)</definedName>
    <definedName name="FinalTotIssCurveRange" localSheetId="2">#REF!</definedName>
    <definedName name="FinalTotIssCurveRange">#REF!</definedName>
    <definedName name="FirmValue" localSheetId="2">#REF!</definedName>
    <definedName name="FirmValue">#REF!</definedName>
    <definedName name="FirstAnalDelta" localSheetId="2">#REF!</definedName>
    <definedName name="FirstAnalDelta">#REF!</definedName>
    <definedName name="FirstBondMat" localSheetId="2">#REF!</definedName>
    <definedName name="FirstBondMat">#REF!</definedName>
    <definedName name="FirstCalcDelta" localSheetId="2">#REF!</definedName>
    <definedName name="FirstCalcDelta">#REF!</definedName>
    <definedName name="FirstDefDate" localSheetId="2">#REF!</definedName>
    <definedName name="FirstDefDate">#REF!</definedName>
    <definedName name="FirstDeltaDispl" localSheetId="2">#REF!</definedName>
    <definedName name="FirstDeltaDispl">#REF!</definedName>
    <definedName name="FirstExerciseDate" localSheetId="2">#REF!</definedName>
    <definedName name="FirstExerciseDate">#REF!</definedName>
    <definedName name="FirstLiborRate1" localSheetId="2">#REF!</definedName>
    <definedName name="FirstLiborRate1">#REF!</definedName>
    <definedName name="FirstLiborRate2" localSheetId="2">#REF!</definedName>
    <definedName name="FirstLiborRate2">#REF!</definedName>
    <definedName name="FirstMaturity" localSheetId="2">#REF!</definedName>
    <definedName name="FirstMaturity">#REF!</definedName>
    <definedName name="FirstMaxLoss" localSheetId="2">#REF!</definedName>
    <definedName name="FirstMaxLoss">#REF!</definedName>
    <definedName name="FirstMinLoss" localSheetId="2">#REF!</definedName>
    <definedName name="FirstMinLoss">#REF!</definedName>
    <definedName name="FirstNotional" localSheetId="2">#REF!</definedName>
    <definedName name="FirstNotional">#REF!</definedName>
    <definedName name="FirstPrem" localSheetId="2">#REF!</definedName>
    <definedName name="FirstPrem">#REF!</definedName>
    <definedName name="FirstQCDDelta" localSheetId="2">[12]CDO!#REF!</definedName>
    <definedName name="FirstQCDDelta">[12]CDO!#REF!</definedName>
    <definedName name="FirstRho" localSheetId="2">#REF!</definedName>
    <definedName name="FirstRho">#REF!</definedName>
    <definedName name="FirstSeed" localSheetId="2">#REF!</definedName>
    <definedName name="FirstSeed">#REF!</definedName>
    <definedName name="FirstSeeed" localSheetId="2">[13]MonteCarloSimulation!#REF!</definedName>
    <definedName name="FirstSeeed">[13]MonteCarloSimulation!#REF!</definedName>
    <definedName name="FirstSwapDate" localSheetId="2">#REF!</definedName>
    <definedName name="FirstSwapDate">#REF!</definedName>
    <definedName name="FirstTenor" localSheetId="2">#REF!</definedName>
    <definedName name="FirstTenor">#REF!</definedName>
    <definedName name="FirstToDefault" localSheetId="2">#REF!</definedName>
    <definedName name="FirstToDefault">#REF!</definedName>
    <definedName name="FitCorrmat" localSheetId="2">#REF!</definedName>
    <definedName name="FitCorrmat">#REF!</definedName>
    <definedName name="fiveyrspread">'Spreadsheet10.3 (new)'!$C$13</definedName>
    <definedName name="Fixed_Rate" localSheetId="2">#REF!</definedName>
    <definedName name="Fixed_Rate">#REF!</definedName>
    <definedName name="FixedBasis" localSheetId="2">#REF!</definedName>
    <definedName name="FixedBasis">#REF!</definedName>
    <definedName name="FixedFreq" localSheetId="2">#REF!</definedName>
    <definedName name="FixedFreq">#REF!</definedName>
    <definedName name="FixedOrFloat" localSheetId="2">#REF!</definedName>
    <definedName name="FixedOrFloat">#REF!</definedName>
    <definedName name="FixedOrNot" localSheetId="2">#REF!</definedName>
    <definedName name="FixedOrNot">#REF!</definedName>
    <definedName name="FlaotRefRateChoiceIndex" localSheetId="2">#REF!</definedName>
    <definedName name="FlaotRefRateChoiceIndex">#REF!</definedName>
    <definedName name="FloatBasis" localSheetId="2">#REF!</definedName>
    <definedName name="FloatBasis">#REF!</definedName>
    <definedName name="FloatFreq" localSheetId="2">#REF!</definedName>
    <definedName name="FloatFreq">#REF!</definedName>
    <definedName name="FloatRate" localSheetId="2">#REF!</definedName>
    <definedName name="FloatRate">#REF!</definedName>
    <definedName name="FloatRefRateChoice" localSheetId="2">#REF!</definedName>
    <definedName name="FloatRefRateChoice">#REF!</definedName>
    <definedName name="FloatRefRateChoiceIndex" localSheetId="2">#REF!</definedName>
    <definedName name="FloatRefRateChoiceIndex">#REF!</definedName>
    <definedName name="Floor" localSheetId="2">#REF!</definedName>
    <definedName name="Floor">#REF!</definedName>
    <definedName name="Freq" localSheetId="2">#REF!</definedName>
    <definedName name="Freq">#REF!</definedName>
    <definedName name="Freq1" localSheetId="2">#REF!</definedName>
    <definedName name="Freq1">#REF!</definedName>
    <definedName name="Freq2" localSheetId="2">#REF!</definedName>
    <definedName name="Freq2">#REF!</definedName>
    <definedName name="FreqChoices" localSheetId="2">#REF!</definedName>
    <definedName name="FreqChoices">#REF!</definedName>
    <definedName name="FreqIndex" localSheetId="2">#REF!</definedName>
    <definedName name="FreqIndex">#REF!</definedName>
    <definedName name="FreqTable1" localSheetId="2">#REF!</definedName>
    <definedName name="FreqTable1">#REF!</definedName>
    <definedName name="FreqTable2" localSheetId="2">#REF!</definedName>
    <definedName name="FreqTable2">#REF!</definedName>
    <definedName name="FVMDef" localSheetId="2">#REF!</definedName>
    <definedName name="FVMDef">#REF!</definedName>
    <definedName name="FVMMarketPrem" localSheetId="2">#REF!</definedName>
    <definedName name="FVMMarketPrem">#REF!</definedName>
    <definedName name="FVMPrem" localSheetId="2">#REF!</definedName>
    <definedName name="FVMPrem">#REF!</definedName>
    <definedName name="FVMPV" localSheetId="2">#REF!</definedName>
    <definedName name="FVMPV">#REF!</definedName>
    <definedName name="FVMResults" localSheetId="2">#REF!</definedName>
    <definedName name="FVMResults">#REF!</definedName>
    <definedName name="Fwd">[3]TreePricer!$C$25</definedName>
    <definedName name="FXVol" localSheetId="2">#REF!</definedName>
    <definedName name="FXVol">#REF!</definedName>
    <definedName name="Gamma">[5]MeanVariance!$O$23</definedName>
    <definedName name="gamma2">[5]MeanVariance!$C$32</definedName>
    <definedName name="GI" localSheetId="2">#REF!</definedName>
    <definedName name="GI">#REF!</definedName>
    <definedName name="Global_Local" localSheetId="2">#REF!</definedName>
    <definedName name="Global_Local">#REF!</definedName>
    <definedName name="Gone" localSheetId="2">#REF!</definedName>
    <definedName name="Gone">#REF!</definedName>
    <definedName name="Greeks" localSheetId="2">#REF!</definedName>
    <definedName name="Greeks">#REF!</definedName>
    <definedName name="GuessYield">[5]YieldExample!$C$3</definedName>
    <definedName name="HazardRae" localSheetId="2">[14]Survival!#REF!</definedName>
    <definedName name="HazardRae">[14]Survival!#REF!</definedName>
    <definedName name="HazardRage" localSheetId="2">[14]Survival!#REF!</definedName>
    <definedName name="HazardRage">[14]Survival!#REF!</definedName>
    <definedName name="Hazardrate" localSheetId="2">#REF!</definedName>
    <definedName name="Hazardrate">#REF!</definedName>
    <definedName name="HazardRate1" localSheetId="1">Spreadsheet10.2!$H$6</definedName>
    <definedName name="HazardRate1" localSheetId="2">#REF!</definedName>
    <definedName name="HazardRate1">#REF!</definedName>
    <definedName name="HazardRate2" localSheetId="1">Spreadsheet10.2!$H$7</definedName>
    <definedName name="HazardRate2" localSheetId="2">#REF!</definedName>
    <definedName name="HazardRate2">#REF!</definedName>
    <definedName name="HazardRate3" localSheetId="1">Spreadsheet10.2!$H$8</definedName>
    <definedName name="HazardRate3" localSheetId="2">#REF!</definedName>
    <definedName name="HazardRate3">#REF!</definedName>
    <definedName name="HazardRate4" localSheetId="1">Spreadsheet10.2!$H$9</definedName>
    <definedName name="HazardRate4" localSheetId="2">#REF!</definedName>
    <definedName name="HazardRate4">#REF!</definedName>
    <definedName name="HazardRate5" localSheetId="1">Spreadsheet10.2!$H$10</definedName>
    <definedName name="HazardRate5" localSheetId="2">#REF!</definedName>
    <definedName name="HazardRate5">#REF!</definedName>
    <definedName name="HazardRates">Spreadsheet10.2!$H$5</definedName>
    <definedName name="HedgeAmount">[3]TradingStrategy!$C$10</definedName>
    <definedName name="HedgingFreq" localSheetId="2">#REF!</definedName>
    <definedName name="HedgingFreq">#REF!</definedName>
    <definedName name="HistHigh">[9]Portfolio!$J$21</definedName>
    <definedName name="HistLow">[9]Portfolio!$J$20</definedName>
    <definedName name="Histogram1Output" localSheetId="2">#REF!</definedName>
    <definedName name="Histogram1Output">#REF!</definedName>
    <definedName name="Histogram2Output" localSheetId="2">#REF!</definedName>
    <definedName name="Histogram2Output">#REF!</definedName>
    <definedName name="HistoricalError" localSheetId="2">#REF!</definedName>
    <definedName name="HistoricalError">#REF!</definedName>
    <definedName name="HistStart" localSheetId="2">#REF!</definedName>
    <definedName name="HistStart">#REF!</definedName>
    <definedName name="HistWeight" localSheetId="2">#REF!</definedName>
    <definedName name="HistWeight">#REF!</definedName>
    <definedName name="HR">[1]BlackModel!$D$20</definedName>
    <definedName name="IA" localSheetId="1">Spreadsheet10.2!#REF!</definedName>
    <definedName name="IA" localSheetId="2">'Spreadsheet10.3 (new)'!#REF!</definedName>
    <definedName name="IA">Spreadsheet10.1!#REF!</definedName>
    <definedName name="IA_A" localSheetId="1">Spreadsheet10.2!#REF!</definedName>
    <definedName name="IA_A" localSheetId="2">'Spreadsheet10.3 (new)'!#REF!</definedName>
    <definedName name="IA_A">Spreadsheet10.1!#REF!</definedName>
    <definedName name="IA_B" localSheetId="1">Spreadsheet10.2!#REF!</definedName>
    <definedName name="IA_B" localSheetId="2">'Spreadsheet10.3 (new)'!#REF!</definedName>
    <definedName name="IA_B">Spreadsheet10.1!#REF!</definedName>
    <definedName name="ImpliedVolatility">[4]HedgingSimulation!$C$10</definedName>
    <definedName name="IndependentAmount">[2]CollateralMarginCall!$C$7</definedName>
    <definedName name="IndependentAmount2">[2]CollateralMarginCall!$D$7</definedName>
    <definedName name="Index" localSheetId="2">#REF!</definedName>
    <definedName name="Index">#REF!</definedName>
    <definedName name="IndexELEur" localSheetId="2">#REF!</definedName>
    <definedName name="IndexELEur">#REF!</definedName>
    <definedName name="IndexELUS" localSheetId="2">#REF!</definedName>
    <definedName name="IndexELUS">#REF!</definedName>
    <definedName name="IndexExpLossEUR" localSheetId="2">#REF!</definedName>
    <definedName name="IndexExpLossEUR">#REF!</definedName>
    <definedName name="IndexExpLossUS" localSheetId="2">#REF!</definedName>
    <definedName name="IndexExpLossUS">#REF!</definedName>
    <definedName name="IndexLevels" localSheetId="2">#REF!</definedName>
    <definedName name="IndexLevels">#REF!</definedName>
    <definedName name="IndexPV" localSheetId="2">#REF!</definedName>
    <definedName name="IndexPV">#REF!</definedName>
    <definedName name="IndexRiskyLevel" localSheetId="2">#REF!</definedName>
    <definedName name="IndexRiskyLevel">#REF!</definedName>
    <definedName name="IndexStart" localSheetId="2">#REF!</definedName>
    <definedName name="IndexStart">#REF!</definedName>
    <definedName name="Industry_Description" localSheetId="2">#REF!</definedName>
    <definedName name="Industry_Description">#REF!</definedName>
    <definedName name="Industry_Lookup_Table" localSheetId="2">#REF!</definedName>
    <definedName name="Industry_Lookup_Table">#REF!</definedName>
    <definedName name="Industry_Number" localSheetId="2">#REF!</definedName>
    <definedName name="Industry_Number">#REF!</definedName>
    <definedName name="InitialCollateral" localSheetId="2">#REF!</definedName>
    <definedName name="InitialCollateral">#REF!</definedName>
    <definedName name="InitialExposure" localSheetId="2">#REF!</definedName>
    <definedName name="InitialExposure">#REF!</definedName>
    <definedName name="InitialPV">'[15]Sheet1 (2)'!$D$4</definedName>
    <definedName name="INST_TYPE" localSheetId="2">#REF!</definedName>
    <definedName name="INST_TYPE">#REF!</definedName>
    <definedName name="InstName" localSheetId="2">#REF!</definedName>
    <definedName name="InstName">#REF!</definedName>
    <definedName name="IntegrationPoints" localSheetId="2">#REF!</definedName>
    <definedName name="IntegrationPoints">#REF!</definedName>
    <definedName name="IntegrationPoints2" localSheetId="2">#REF!</definedName>
    <definedName name="IntegrationPoints2">#REF!</definedName>
    <definedName name="Intensity" localSheetId="2">#REF!</definedName>
    <definedName name="Intensity">#REF!</definedName>
    <definedName name="IntensityCntrpty">[2]CVA!$D$8</definedName>
    <definedName name="IntensitySystemic" localSheetId="2">[2]CVA!#REF!</definedName>
    <definedName name="IntensitySystemic">[2]CVA!#REF!</definedName>
    <definedName name="IntensityUs" localSheetId="2">[2]CVA!#REF!</definedName>
    <definedName name="IntensityUs">[2]CVA!#REF!</definedName>
    <definedName name="InterCorrel" localSheetId="2">[12]CDO!#REF!</definedName>
    <definedName name="InterCorrel">[12]CDO!#REF!</definedName>
    <definedName name="InterestR">[3]TreePricer!$C$18</definedName>
    <definedName name="InterestRate" localSheetId="2">#REF!</definedName>
    <definedName name="InterestRate">#REF!</definedName>
    <definedName name="InterestRateNow" localSheetId="2">#REF!</definedName>
    <definedName name="InterestRateNow">#REF!</definedName>
    <definedName name="InterpType">[16]BaseCorrelation!$C$16</definedName>
    <definedName name="Interval" localSheetId="2">#REF!</definedName>
    <definedName name="Interval">#REF!</definedName>
    <definedName name="IntPoints" localSheetId="2">#REF!</definedName>
    <definedName name="IntPoints">#REF!</definedName>
    <definedName name="IntRate" localSheetId="2">#REF!</definedName>
    <definedName name="IntRate">#REF!</definedName>
    <definedName name="iNumUnderlyings" localSheetId="2">#REF!</definedName>
    <definedName name="iNumUnderlyings">#REF!</definedName>
    <definedName name="IR">[4]OptionPricer!$C$9</definedName>
    <definedName name="IRate" localSheetId="1">Spreadsheet10.2!$C$6</definedName>
    <definedName name="IRate">[2]CVA!$C$13</definedName>
    <definedName name="IRMC">[8]MonteCarlo!$C$5</definedName>
    <definedName name="IRModel" localSheetId="2">#REF!</definedName>
    <definedName name="IRModel">#REF!</definedName>
    <definedName name="IRModelType" localSheetId="2">#REF!</definedName>
    <definedName name="IRModelType">#REF!</definedName>
    <definedName name="IRTau" localSheetId="2">#REF!</definedName>
    <definedName name="IRTau">#REF!</definedName>
    <definedName name="IRVol" localSheetId="2">#REF!</definedName>
    <definedName name="IRVol">#REF!</definedName>
    <definedName name="IssCurveRangeCopy" localSheetId="2">OFFSET(#REF!,1+#REF!,0,#REF!,1)</definedName>
    <definedName name="IssCurveRangeCopy">OFFSET(#REF!,1+#REF!,0,#REF!,1)</definedName>
    <definedName name="ISSUE_DATE" localSheetId="2">#REF!</definedName>
    <definedName name="ISSUE_DATE">#REF!</definedName>
    <definedName name="ISSUER" localSheetId="2">#REF!</definedName>
    <definedName name="ISSUER">#REF!</definedName>
    <definedName name="Issuer_Curve_cell" localSheetId="2">#REF!</definedName>
    <definedName name="Issuer_Curve_cell">#REF!</definedName>
    <definedName name="ISSUER_INDEX" localSheetId="2">#REF!</definedName>
    <definedName name="ISSUER_INDEX">#REF!</definedName>
    <definedName name="ISSUER_LIST" localSheetId="2">#REF!</definedName>
    <definedName name="ISSUER_LIST">#REF!</definedName>
    <definedName name="ISSUER_MAPPINGS" localSheetId="2">#REF!</definedName>
    <definedName name="ISSUER_MAPPINGS">#REF!</definedName>
    <definedName name="IssuerCurves" localSheetId="2">OFFSET(#REF!,0,0,#REF!,1)</definedName>
    <definedName name="IssuerCurves">OFFSET(#REF!,0,0,#REF!,1)</definedName>
    <definedName name="iter" localSheetId="2">#REF!</definedName>
    <definedName name="iter">#REF!</definedName>
    <definedName name="JumpFreq" localSheetId="2">#REF!</definedName>
    <definedName name="JumpFreq">#REF!</definedName>
    <definedName name="JumpSize" localSheetId="2">#REF!</definedName>
    <definedName name="JumpSize">#REF!</definedName>
    <definedName name="Knockout" localSheetId="2">#REF!</definedName>
    <definedName name="Knockout">#REF!</definedName>
    <definedName name="Knockout2" localSheetId="2">#REF!</definedName>
    <definedName name="Knockout2">#REF!</definedName>
    <definedName name="kurtosis" localSheetId="2">#REF!</definedName>
    <definedName name="kurtosis">#REF!</definedName>
    <definedName name="Label" localSheetId="2">#REF!</definedName>
    <definedName name="Label">#REF!</definedName>
    <definedName name="Lamba">[9]CreditGrades!$C$13</definedName>
    <definedName name="lambda" localSheetId="2">#REF!</definedName>
    <definedName name="lambda">#REF!</definedName>
    <definedName name="lamda" localSheetId="2">#REF!</definedName>
    <definedName name="lamda">#REF!</definedName>
    <definedName name="lamda2">[11]ExponentialDampingEstimate!$C$6</definedName>
    <definedName name="lamda3">[4]ExponentialDampingEstimate!$C$6</definedName>
    <definedName name="LASTCPN_RATE" localSheetId="2">#REF!</definedName>
    <definedName name="LASTCPN_RATE">#REF!</definedName>
    <definedName name="LastExerciseDate" localSheetId="2">#REF!</definedName>
    <definedName name="LastExerciseDate">#REF!</definedName>
    <definedName name="Lbar">[9]CreditGrades!$C$12</definedName>
    <definedName name="LengthBCCurve" localSheetId="2">#REF!</definedName>
    <definedName name="LengthBCCurve">#REF!</definedName>
    <definedName name="LengthBCEur" localSheetId="2">#REF!</definedName>
    <definedName name="LengthBCEur">#REF!</definedName>
    <definedName name="LengthBCUS" localSheetId="2">#REF!</definedName>
    <definedName name="LengthBCUS">#REF!</definedName>
    <definedName name="Leverage" localSheetId="2">#REF!</definedName>
    <definedName name="Leverage">#REF!</definedName>
    <definedName name="LGD">[10]BaselIIFormula!$D$8</definedName>
    <definedName name="LGM_STAMP">"LGM"</definedName>
    <definedName name="LGMChoice" localSheetId="2">#REF!</definedName>
    <definedName name="LGMChoice">#REF!</definedName>
    <definedName name="LGMopencol" localSheetId="2">OFFSET('Spreadsheet10.3 (new)'!LGMChoice,2,0,'Spreadsheet10.3 (new)'!NumLGMChoices,1)</definedName>
    <definedName name="LGMopencol">OFFSET([0]!LGMChoice,2,0,[0]!NumLGMChoices,1)</definedName>
    <definedName name="LiborRateChoice" localSheetId="2">#REF!</definedName>
    <definedName name="LiborRateChoice">#REF!</definedName>
    <definedName name="LiborRateCol" localSheetId="2">OFFSET(#REF!,0,0,#REF!,1)</definedName>
    <definedName name="LiborRateCol">OFFSET(#REF!,0,0,#REF!,1)</definedName>
    <definedName name="LiborRateCol1" localSheetId="2">OFFSET(#REF!,0,0,#REF!,1)</definedName>
    <definedName name="LiborRateCol1">OFFSET(#REF!,0,0,#REF!,1)</definedName>
    <definedName name="littled">[9]CreditGrades!$C$21</definedName>
    <definedName name="LOAD_MKT" localSheetId="2">#REF!</definedName>
    <definedName name="LOAD_MKT">#REF!</definedName>
    <definedName name="LookUnderlying" localSheetId="2">#REF!</definedName>
    <definedName name="LookUnderlying">#REF!</definedName>
    <definedName name="LossBins" localSheetId="2">#REF!</definedName>
    <definedName name="LossBins">#REF!</definedName>
    <definedName name="LossGivenDefault" localSheetId="2">#REF!</definedName>
    <definedName name="LossGivenDefault">#REF!</definedName>
    <definedName name="LossonLiquidation" localSheetId="2">#REF!</definedName>
    <definedName name="LossonLiquidation">#REF!</definedName>
    <definedName name="Lower">[7]SimpleIntegration!$C$2</definedName>
    <definedName name="LowerBaseTrancheAttach" localSheetId="2">#REF!</definedName>
    <definedName name="LowerBaseTrancheAttach">#REF!</definedName>
    <definedName name="LowerTrancheEURCorrel" localSheetId="2">#REF!</definedName>
    <definedName name="LowerTrancheEURCorrel">#REF!</definedName>
    <definedName name="LowerTrancheUSCorrel" localSheetId="2">#REF!</definedName>
    <definedName name="LowerTrancheUSCorrel">#REF!</definedName>
    <definedName name="LTBorrowings" localSheetId="2">#REF!</definedName>
    <definedName name="LTBorrowings">#REF!</definedName>
    <definedName name="LTMean" localSheetId="2">#REF!</definedName>
    <definedName name="LTMean">#REF!</definedName>
    <definedName name="MAN_IP" localSheetId="2">#REF!</definedName>
    <definedName name="MAN_IP">#REF!</definedName>
    <definedName name="MAN_MKT" localSheetId="2">#REF!</definedName>
    <definedName name="MAN_MKT">#REF!</definedName>
    <definedName name="ManualMarket" localSheetId="2">#REF!</definedName>
    <definedName name="ManualMarket">#REF!</definedName>
    <definedName name="Mapset" localSheetId="2">#REF!</definedName>
    <definedName name="Mapset">#REF!</definedName>
    <definedName name="Mapsets_count_cell" localSheetId="2">#REF!</definedName>
    <definedName name="Mapsets_count_cell">#REF!</definedName>
    <definedName name="MargEPE">'[2]Impact of PV'!$C$19</definedName>
    <definedName name="MargEPE1">[2]EPEAllocation!$C$22</definedName>
    <definedName name="MargEPE2">[2]EPEAllocation!$D$22</definedName>
    <definedName name="MarginalES">[9]ConditionalNormalApproximation!$G$13</definedName>
    <definedName name="Market" localSheetId="2">#REF!</definedName>
    <definedName name="Market">#REF!</definedName>
    <definedName name="MarketChoice" localSheetId="2">#REF!</definedName>
    <definedName name="MarketChoice">#REF!</definedName>
    <definedName name="MarketChoiceCell" localSheetId="2">#REF!</definedName>
    <definedName name="MarketChoiceCell">#REF!</definedName>
    <definedName name="marketcountcol" localSheetId="2">#REF!</definedName>
    <definedName name="marketcountcol">#REF!</definedName>
    <definedName name="MarketId" localSheetId="2">#REF!</definedName>
    <definedName name="MarketId">#REF!</definedName>
    <definedName name="MarketPrem" localSheetId="2">#REF!</definedName>
    <definedName name="MarketPrem">#REF!</definedName>
    <definedName name="MarketSheet" localSheetId="2">#REF!</definedName>
    <definedName name="MarketSheet">#REF!</definedName>
    <definedName name="Mat">[9]CreditGrades!$C$16</definedName>
    <definedName name="MatDate" localSheetId="2">#REF!</definedName>
    <definedName name="MatDate">#REF!</definedName>
    <definedName name="Maturity" localSheetId="2">#REF!</definedName>
    <definedName name="Maturity">#REF!</definedName>
    <definedName name="Maturity_11" localSheetId="2">#REF!</definedName>
    <definedName name="Maturity_11">#REF!</definedName>
    <definedName name="maturity_mismatch_penalty" localSheetId="2">#REF!</definedName>
    <definedName name="maturity_mismatch_penalty">#REF!</definedName>
    <definedName name="Maturity2" localSheetId="2">#REF!</definedName>
    <definedName name="Maturity2">#REF!</definedName>
    <definedName name="MaturityDate">'[5]Bond Price with Excel'!$B$16</definedName>
    <definedName name="MaturityMC">[8]MonteCarlo!$C$6</definedName>
    <definedName name="MaxBinLoss" localSheetId="2">#REF!</definedName>
    <definedName name="MaxBinLoss">#REF!</definedName>
    <definedName name="MaxDefaults" localSheetId="2">#REF!</definedName>
    <definedName name="MaxDefaults">#REF!</definedName>
    <definedName name="MaxLossStart" localSheetId="2">#REF!</definedName>
    <definedName name="MaxLossStart">#REF!</definedName>
    <definedName name="MCorTree" localSheetId="2">#REF!</definedName>
    <definedName name="MCorTree">#REF!</definedName>
    <definedName name="MCOutput">[2]MonteCarlo!$J$8</definedName>
    <definedName name="MCPaths">[2]CollateralMarginCall!$G$9</definedName>
    <definedName name="MCSims">[2]MonteCarlo!$C$8</definedName>
    <definedName name="Mean" localSheetId="2">#REF!</definedName>
    <definedName name="Mean">#REF!</definedName>
    <definedName name="Mean1">[7]SimpleCovarianceWithWeights!$C$6</definedName>
    <definedName name="Mean2">[7]SimpleCovarianceWithWeights!$C$7</definedName>
    <definedName name="MeanExposure">[2]Netting!$D$8</definedName>
    <definedName name="MeanReturn" localSheetId="2">#REF!</definedName>
    <definedName name="MeanReturn">#REF!</definedName>
    <definedName name="MeanRev" localSheetId="2">#REF!</definedName>
    <definedName name="MeanRev">#REF!</definedName>
    <definedName name="MertonMaturity">[16]Merton!$C$13</definedName>
    <definedName name="MinAmountInput" localSheetId="2">#REF!</definedName>
    <definedName name="MinAmountInput">#REF!</definedName>
    <definedName name="MinDefaults" localSheetId="2">#REF!</definedName>
    <definedName name="MinDefaults">#REF!</definedName>
    <definedName name="MinimumTransferAmount">[2]CollateralMarginCall!$C$10</definedName>
    <definedName name="MinimumTransferAmount2">[2]CollateralMarginCall!$D$10</definedName>
    <definedName name="MinLossStart" localSheetId="2">#REF!</definedName>
    <definedName name="MinLossStart">#REF!</definedName>
    <definedName name="MinorityInterest" localSheetId="2">#REF!</definedName>
    <definedName name="MinorityInterest">#REF!</definedName>
    <definedName name="MKT" localSheetId="2">#REF!</definedName>
    <definedName name="MKT">#REF!</definedName>
    <definedName name="mktid" localSheetId="2">#REF!</definedName>
    <definedName name="mktid">#REF!</definedName>
    <definedName name="MktPriceCell" localSheetId="2">#REF!</definedName>
    <definedName name="MktPriceCell">#REF!</definedName>
    <definedName name="MnL" localSheetId="2">#REF!</definedName>
    <definedName name="MnL">#REF!</definedName>
    <definedName name="ModelChoiceInt" localSheetId="2">#REF!</definedName>
    <definedName name="ModelChoiceInt">#REF!</definedName>
    <definedName name="ModelNameMod" localSheetId="2">#REF!</definedName>
    <definedName name="ModelNameMod">#REF!</definedName>
    <definedName name="ModifiedDuration" localSheetId="2">'[5]Bond Price with Excel'!#REF!</definedName>
    <definedName name="ModifiedDuration">'[5]Bond Price with Excel'!#REF!</definedName>
    <definedName name="MTA_A" localSheetId="1">Spreadsheet10.2!#REF!</definedName>
    <definedName name="MTA_A" localSheetId="2">'Spreadsheet10.3 (new)'!#REF!</definedName>
    <definedName name="MTA_A">Spreadsheet10.1!#REF!</definedName>
    <definedName name="MTA_B" localSheetId="1">Spreadsheet10.2!#REF!</definedName>
    <definedName name="MTA_B" localSheetId="2">'Spreadsheet10.3 (new)'!#REF!</definedName>
    <definedName name="MTA_B">Spreadsheet10.1!#REF!</definedName>
    <definedName name="MTMVals">Spreadsheet10.2!$K$5</definedName>
    <definedName name="Mu" localSheetId="0">Spreadsheet10.1!#REF!</definedName>
    <definedName name="Mu" localSheetId="1">Spreadsheet10.2!#REF!</definedName>
    <definedName name="Mu" localSheetId="2">'Spreadsheet10.3 (new)'!#REF!</definedName>
    <definedName name="Mu">#REF!</definedName>
    <definedName name="mu1a">[11]TwoAssetsEfficientFrontier!$C$7</definedName>
    <definedName name="mu2a">[11]TwoAssetsEfficientFrontier!$C$8</definedName>
    <definedName name="Mult1">[2]EPEAllocation!$H$7</definedName>
    <definedName name="Mult2">[2]EPEAllocation!$I$7</definedName>
    <definedName name="Multiplier">[4]CoherentRiskMeasuresExample!$I$8</definedName>
    <definedName name="MxL" localSheetId="2">#REF!</definedName>
    <definedName name="MxL">#REF!</definedName>
    <definedName name="NAME" localSheetId="2">#REF!</definedName>
    <definedName name="NAME">#REF!</definedName>
    <definedName name="NameInDef" localSheetId="2">#REF!</definedName>
    <definedName name="NameInDef">#REF!</definedName>
    <definedName name="NbBond" localSheetId="2">#REF!</definedName>
    <definedName name="NbBond">#REF!</definedName>
    <definedName name="NbParam" localSheetId="2">#REF!</definedName>
    <definedName name="NbParam">#REF!</definedName>
    <definedName name="NbPoints" localSheetId="2">#REF!</definedName>
    <definedName name="NbPoints">#REF!</definedName>
    <definedName name="NewEstimate">[2]CDSStripper!$L$10</definedName>
    <definedName name="NextCouponDate">'[5]Bond Price with Excel'!$B$19</definedName>
    <definedName name="non_utilisation_relief" localSheetId="2">#REF!</definedName>
    <definedName name="non_utilisation_relief">#REF!</definedName>
    <definedName name="Notional" localSheetId="2">#REF!</definedName>
    <definedName name="Notional">#REF!</definedName>
    <definedName name="Notional_11" localSheetId="2">#REF!</definedName>
    <definedName name="Notional_11">#REF!</definedName>
    <definedName name="Notionals">[9]Portfolio!$C$10</definedName>
    <definedName name="NUM_CURVES" localSheetId="2">#REF!</definedName>
    <definedName name="NUM_CURVES">#REF!</definedName>
    <definedName name="NUM_ISSUERS" localSheetId="2">#REF!</definedName>
    <definedName name="NUM_ISSUERS">#REF!</definedName>
    <definedName name="NUM_MAPPINGS" localSheetId="2">#REF!</definedName>
    <definedName name="NUM_MAPPINGS">#REF!</definedName>
    <definedName name="NUM_QUOTES" localSheetId="2">#REF!</definedName>
    <definedName name="NUM_QUOTES">#REF!</definedName>
    <definedName name="NumBonds" localSheetId="2">#REF!</definedName>
    <definedName name="NumBonds">#REF!</definedName>
    <definedName name="NumCalibInstruments" localSheetId="2">#REF!</definedName>
    <definedName name="NumCalibInstruments">#REF!</definedName>
    <definedName name="NumCalls" localSheetId="1">Spreadsheet10.2!#REF!</definedName>
    <definedName name="NumCalls" localSheetId="2">'Spreadsheet10.3 (new)'!#REF!</definedName>
    <definedName name="NumCalls">Spreadsheet10.1!#REF!</definedName>
    <definedName name="NumCoupons" localSheetId="2">#REF!</definedName>
    <definedName name="NumCoupons">#REF!</definedName>
    <definedName name="NumDeltas" localSheetId="2">#REF!</definedName>
    <definedName name="NumDeltas">#REF!</definedName>
    <definedName name="NumExercises" localSheetId="2">#REF!</definedName>
    <definedName name="NumExercises">#REF!</definedName>
    <definedName name="NumFactors" localSheetId="2">#REF!</definedName>
    <definedName name="NumFactors">#REF!</definedName>
    <definedName name="NumFloatCoupons" localSheetId="2">#REF!</definedName>
    <definedName name="NumFloatCoupons">#REF!</definedName>
    <definedName name="NumInstruments" localSheetId="2">#REF!</definedName>
    <definedName name="NumInstruments">#REF!</definedName>
    <definedName name="NumLGMChoices" localSheetId="2">#REF!</definedName>
    <definedName name="NumLGMChoices">#REF!</definedName>
    <definedName name="NumMarketChoices" localSheetId="2">#REF!</definedName>
    <definedName name="NumMarketChoices">#REF!</definedName>
    <definedName name="NumNames">[9]Portfolio!$J$12</definedName>
    <definedName name="NUmNames2">[17]Portfolio!$G$8</definedName>
    <definedName name="NumPremiums" localSheetId="2">#REF!</definedName>
    <definedName name="NumPremiums">#REF!</definedName>
    <definedName name="NumRatings" localSheetId="2">#REF!</definedName>
    <definedName name="NumRatings">#REF!</definedName>
    <definedName name="NumRefRateChoices" localSheetId="2">#REF!</definedName>
    <definedName name="NumRefRateChoices">#REF!</definedName>
    <definedName name="NumReqTnors" localSheetId="2">#REF!</definedName>
    <definedName name="NumReqTnors">#REF!</definedName>
    <definedName name="NumSims">[9]MonteCarlo!$C$11</definedName>
    <definedName name="NumSteps">[3]TreePricer!$C$10</definedName>
    <definedName name="NumTenors" localSheetId="2">#REF!</definedName>
    <definedName name="NumTenors">#REF!</definedName>
    <definedName name="NumTranches" localSheetId="2">#REF!</definedName>
    <definedName name="NumTranches">#REF!</definedName>
    <definedName name="NumUnderlyings" localSheetId="2">#REF!</definedName>
    <definedName name="NumUnderlyings">#REF!</definedName>
    <definedName name="Obligor_Group" localSheetId="2">#REF!</definedName>
    <definedName name="Obligor_Group">#REF!</definedName>
    <definedName name="Obligor_Location" localSheetId="2">#REF!</definedName>
    <definedName name="Obligor_Location">#REF!</definedName>
    <definedName name="Obligor_Name" localSheetId="2">#REF!</definedName>
    <definedName name="Obligor_Name">#REF!</definedName>
    <definedName name="OFFER" localSheetId="2">#REF!</definedName>
    <definedName name="OFFER">#REF!</definedName>
    <definedName name="OldPortfolioData">[9]PortfolioAnalysis!$G$15</definedName>
    <definedName name="OptComp" localSheetId="2">#REF!</definedName>
    <definedName name="OptComp">#REF!</definedName>
    <definedName name="OptionData">[3]OptionPriceTree!$A$1</definedName>
    <definedName name="OptionDelta" localSheetId="2">#REF!</definedName>
    <definedName name="OptionDelta">#REF!</definedName>
    <definedName name="OptionDeltaApprox" localSheetId="2">#REF!</definedName>
    <definedName name="OptionDeltaApprox">#REF!</definedName>
    <definedName name="OptionImpVol" localSheetId="2">#REF!</definedName>
    <definedName name="OptionImpVol">#REF!</definedName>
    <definedName name="OptionIR" localSheetId="2">#REF!</definedName>
    <definedName name="OptionIR">#REF!</definedName>
    <definedName name="OptionMaturity" localSheetId="2">#REF!</definedName>
    <definedName name="OptionMaturity">#REF!</definedName>
    <definedName name="OptionPayoff">[3]TreePricer!$C$9</definedName>
    <definedName name="OptionPrem" localSheetId="2">#REF!</definedName>
    <definedName name="OptionPrem">#REF!</definedName>
    <definedName name="OptionPrice">[3]TreePricer!$C$22</definedName>
    <definedName name="OptionPVMC" localSheetId="2">#REF!</definedName>
    <definedName name="OptionPVMC">#REF!</definedName>
    <definedName name="OptionSpot" localSheetId="2">#REF!</definedName>
    <definedName name="OptionSpot">#REF!</definedName>
    <definedName name="OptionStrike" localSheetId="2">#REF!</definedName>
    <definedName name="OptionStrike">#REF!</definedName>
    <definedName name="OptionType" localSheetId="2">#REF!</definedName>
    <definedName name="OptionType">#REF!</definedName>
    <definedName name="OptionTypeCell" localSheetId="2">#REF!</definedName>
    <definedName name="OptionTypeCell">#REF!</definedName>
    <definedName name="OptionValue" localSheetId="2">#REF!</definedName>
    <definedName name="OptionValue">#REF!</definedName>
    <definedName name="Original_Obl_Loc" localSheetId="2">#REF!</definedName>
    <definedName name="Original_Obl_Loc">#REF!</definedName>
    <definedName name="OtherLTLiab" localSheetId="2">#REF!</definedName>
    <definedName name="OtherLTLiab">#REF!</definedName>
    <definedName name="OtherSTLIab" localSheetId="2">#REF!</definedName>
    <definedName name="OtherSTLIab">#REF!</definedName>
    <definedName name="Output">[9]Recursion!$E$17</definedName>
    <definedName name="OutputGI" localSheetId="2">#REF!</definedName>
    <definedName name="OutputGI">#REF!</definedName>
    <definedName name="OverwriteBaseCorrel" localSheetId="2">#REF!</definedName>
    <definedName name="OverwriteBaseCorrel">#REF!</definedName>
    <definedName name="Param">[9]MonteCarlo!$F$9</definedName>
    <definedName name="Param1">[9]MonteCarlo!$F$8</definedName>
    <definedName name="Param2" localSheetId="2">[9]MonteCarlo!#REF!</definedName>
    <definedName name="Param2">[9]MonteCarlo!#REF!</definedName>
    <definedName name="PASSWORD" localSheetId="2">#REF!</definedName>
    <definedName name="PASSWORD">#REF!</definedName>
    <definedName name="PathNum" localSheetId="1">Spreadsheet10.2!$E$10</definedName>
    <definedName name="PathNum" localSheetId="2">'Spreadsheet10.3 (new)'!#REF!</definedName>
    <definedName name="PathNum">Spreadsheet10.1!$E$16</definedName>
    <definedName name="PayDateCell" localSheetId="2">#REF!</definedName>
    <definedName name="PayDateCell">#REF!</definedName>
    <definedName name="PayoffRef" localSheetId="2">#REF!</definedName>
    <definedName name="PayoffRef">#REF!</definedName>
    <definedName name="Payoffs" localSheetId="2">OFFSET(#REF!,0,0,#REF!,1)</definedName>
    <definedName name="Payoffs">OFFSET(#REF!,0,0,#REF!,1)</definedName>
    <definedName name="Percentile">[4]CoherentRiskMeasuresExample!$I$9</definedName>
    <definedName name="PercPriceImpact" localSheetId="2">#REF!</definedName>
    <definedName name="PercPriceImpact">#REF!</definedName>
    <definedName name="PFE" localSheetId="0">Spreadsheet10.1!#REF!</definedName>
    <definedName name="PFE" localSheetId="1">Spreadsheet10.2!#REF!</definedName>
    <definedName name="PFE" localSheetId="2">'Spreadsheet10.3 (new)'!#REF!</definedName>
    <definedName name="PFE">#REF!</definedName>
    <definedName name="Points">[7]SimpleIntegration!$C$4</definedName>
    <definedName name="PortExpLoss" localSheetId="2">#REF!</definedName>
    <definedName name="PortExpLoss">#REF!</definedName>
    <definedName name="PortfolioData">[9]PortfolioAnalysis!$C$15</definedName>
    <definedName name="PortfolioMTM">[2]CollateralMarginCall!$C$6</definedName>
    <definedName name="PortfolioStats">[9]PortfolioAnalysis!$C$10</definedName>
    <definedName name="PortfolioStatsOld">[9]PortfolioAnalysis!$D$10</definedName>
    <definedName name="Positions" localSheetId="2">#REF!</definedName>
    <definedName name="Positions">#REF!</definedName>
    <definedName name="PostInterval">[2]CollateralMarginCall!$G$7</definedName>
    <definedName name="PreferredEquity" localSheetId="2">#REF!</definedName>
    <definedName name="PreferredEquity">#REF!</definedName>
    <definedName name="Prem1" localSheetId="2">#REF!</definedName>
    <definedName name="Prem1">#REF!</definedName>
    <definedName name="Prem2" localSheetId="2">#REF!</definedName>
    <definedName name="Prem2">#REF!</definedName>
    <definedName name="PremComp" localSheetId="2">#REF!</definedName>
    <definedName name="PremComp">#REF!</definedName>
    <definedName name="Premium" localSheetId="2">#REF!</definedName>
    <definedName name="Premium">#REF!</definedName>
    <definedName name="PremiumDateCell" localSheetId="2">#REF!</definedName>
    <definedName name="PremiumDateCell">#REF!</definedName>
    <definedName name="PremiumModel" localSheetId="2">#REF!</definedName>
    <definedName name="PremiumModel">#REF!</definedName>
    <definedName name="PremiumPaid" localSheetId="2">#REF!</definedName>
    <definedName name="PremiumPaid">#REF!</definedName>
    <definedName name="PremiumPaid2" localSheetId="2">#REF!</definedName>
    <definedName name="PremiumPaid2">#REF!</definedName>
    <definedName name="PremiumStart" localSheetId="2">#REF!</definedName>
    <definedName name="PremiumStart">#REF!</definedName>
    <definedName name="PremLeg2" localSheetId="2">#REF!</definedName>
    <definedName name="PremLeg2">#REF!</definedName>
    <definedName name="Price">[5]YieldExample!$C$2</definedName>
    <definedName name="PrincingError" localSheetId="2">#REF!</definedName>
    <definedName name="PrincingError">#REF!</definedName>
    <definedName name="Prob">[4]BinomialVsNormal!$C$6</definedName>
    <definedName name="ProductType" localSheetId="2">#REF!</definedName>
    <definedName name="ProductType">#REF!</definedName>
    <definedName name="PVDef" localSheetId="2">#REF!</definedName>
    <definedName name="PVDef">#REF!</definedName>
    <definedName name="PVDef2" localSheetId="2">#REF!</definedName>
    <definedName name="PVDef2">#REF!</definedName>
    <definedName name="PVPrem" localSheetId="2">#REF!</definedName>
    <definedName name="PVPrem">#REF!</definedName>
    <definedName name="PVPrem2" localSheetId="2">#REF!</definedName>
    <definedName name="PVPrem2">#REF!</definedName>
    <definedName name="Quantile" localSheetId="2">#REF!</definedName>
    <definedName name="Quantile">#REF!</definedName>
    <definedName name="QuantoMkt" localSheetId="2">#REF!</definedName>
    <definedName name="QuantoMkt">#REF!</definedName>
    <definedName name="RandomNumberRange" localSheetId="2">#REF!</definedName>
    <definedName name="RandomNumberRange">#REF!</definedName>
    <definedName name="RandomNumbers" localSheetId="2">#REF!</definedName>
    <definedName name="RandomNumbers">#REF!</definedName>
    <definedName name="RanNums">[18]RandomNumbers!$B$4</definedName>
    <definedName name="RanNums2">[18]RandomNumbers!$H$4</definedName>
    <definedName name="rate">'[19]Class Problems'!$H$39</definedName>
    <definedName name="Rate2" localSheetId="2">#REF!</definedName>
    <definedName name="Rate2">#REF!</definedName>
    <definedName name="Rating" localSheetId="2">#REF!</definedName>
    <definedName name="Rating">#REF!</definedName>
    <definedName name="Rating_11" localSheetId="2">#REF!</definedName>
    <definedName name="Rating_11">#REF!</definedName>
    <definedName name="RatingT1" localSheetId="2">#REF!</definedName>
    <definedName name="RatingT1">#REF!</definedName>
    <definedName name="RatingT2" localSheetId="2">#REF!</definedName>
    <definedName name="RatingT2">#REF!</definedName>
    <definedName name="RatingT3" localSheetId="2">#REF!</definedName>
    <definedName name="RatingT3">#REF!</definedName>
    <definedName name="RatingTable" localSheetId="2">#REF!</definedName>
    <definedName name="RatingTable">#REF!</definedName>
    <definedName name="RBasis" localSheetId="2">#REF!</definedName>
    <definedName name="RBasis">#REF!</definedName>
    <definedName name="RBondStrike" localSheetId="2">#REF!</definedName>
    <definedName name="RBondStrike">#REF!</definedName>
    <definedName name="RCalibWeight" localSheetId="2">#REF!</definedName>
    <definedName name="RCalibWeight">#REF!</definedName>
    <definedName name="Rec" localSheetId="2">#REF!</definedName>
    <definedName name="Rec">#REF!</definedName>
    <definedName name="Recovery" localSheetId="1">Spreadsheet10.2!$C$7</definedName>
    <definedName name="Recovery">[9]BondReturnAnalysis!$C$13</definedName>
    <definedName name="Recovery_Pricing" localSheetId="2">#REF!</definedName>
    <definedName name="Recovery_Pricing">#REF!</definedName>
    <definedName name="Recovery_Stripping" localSheetId="2">#REF!</definedName>
    <definedName name="Recovery_Stripping">#REF!</definedName>
    <definedName name="Recovery2" localSheetId="2">#REF!</definedName>
    <definedName name="Recovery2">#REF!</definedName>
    <definedName name="RecoveryPercent" localSheetId="2">#REF!</definedName>
    <definedName name="RecoveryPercent">#REF!</definedName>
    <definedName name="RecoveryRange">[9]Portfolio!$J$14</definedName>
    <definedName name="RecoveryRate">'Spreadsheet10.3 (new)'!$C$10</definedName>
    <definedName name="RecoveryRates">[9]Portfolio!$F$10</definedName>
    <definedName name="recovrate" localSheetId="2">#REF!</definedName>
    <definedName name="recovrate">#REF!</definedName>
    <definedName name="RecovRate_11" localSheetId="2">#REF!</definedName>
    <definedName name="RecovRate_11">#REF!</definedName>
    <definedName name="RecPayCell" localSheetId="2">#REF!</definedName>
    <definedName name="RecPayCell">#REF!</definedName>
    <definedName name="RecRate">[10]IndexBasis!$I$7</definedName>
    <definedName name="Redemption">'[5]Bond Price with Excel'!$B$58</definedName>
    <definedName name="ref_currency" localSheetId="2">#REF!</definedName>
    <definedName name="ref_currency">#REF!</definedName>
    <definedName name="RefDefProb">[2]CDSCntrptyRisk!$C$13</definedName>
    <definedName name="RefRate" localSheetId="2">#REF!</definedName>
    <definedName name="RefRate">#REF!</definedName>
    <definedName name="RefRateCell" localSheetId="2">#REF!</definedName>
    <definedName name="RefRateCell">#REF!</definedName>
    <definedName name="RefRateChoiceCell" localSheetId="2">#REF!</definedName>
    <definedName name="RefRateChoiceCell">#REF!</definedName>
    <definedName name="RefRec" localSheetId="2">#REF!</definedName>
    <definedName name="RefRec">#REF!</definedName>
    <definedName name="Region" localSheetId="2">#REF!</definedName>
    <definedName name="Region">#REF!</definedName>
    <definedName name="Remargin" localSheetId="1">Spreadsheet10.2!#REF!</definedName>
    <definedName name="Remargin" localSheetId="2">'Spreadsheet10.3 (new)'!#REF!</definedName>
    <definedName name="Remargin">Spreadsheet10.1!#REF!</definedName>
    <definedName name="repoCurve" localSheetId="2">#REF!</definedName>
    <definedName name="repoCurve">#REF!</definedName>
    <definedName name="ReqCorrMat" localSheetId="2">#REF!</definedName>
    <definedName name="ReqCorrMat">#REF!</definedName>
    <definedName name="RescaleEL" localSheetId="2">#REF!</definedName>
    <definedName name="RescaleEL">#REF!</definedName>
    <definedName name="RescaleRatio" localSheetId="2">#REF!</definedName>
    <definedName name="RescaleRatio">#REF!</definedName>
    <definedName name="Reserve" localSheetId="2">#REF!</definedName>
    <definedName name="Reserve">#REF!</definedName>
    <definedName name="result_11" localSheetId="2">#REF!</definedName>
    <definedName name="result_11">#REF!</definedName>
    <definedName name="Result1">[2]CVA!$J$6</definedName>
    <definedName name="Result2">[2]CVA!$K$6</definedName>
    <definedName name="Results">[9]Recursion!$CW$124</definedName>
    <definedName name="RetPV" localSheetId="2">#REF!</definedName>
    <definedName name="RetPV">#REF!</definedName>
    <definedName name="RetPV2" localSheetId="2">#REF!</definedName>
    <definedName name="RetPV2">#REF!</definedName>
    <definedName name="Return" localSheetId="2">#REF!</definedName>
    <definedName name="Return">#REF!</definedName>
    <definedName name="RExerFrontierBounds" localSheetId="2">OFFSET([0]!ExerRatesBoundsTopCell,0,0,'Spreadsheet10.3 (new)'!NumExercises,1)</definedName>
    <definedName name="RExerFrontierBounds">OFFSET([0]!ExerRatesBoundsTopCell,0,0,[0]!NumExercises,1)</definedName>
    <definedName name="RFwdVols" localSheetId="2">OFFSET([0]!FwdVolRangeTopCell,0,0,'Spreadsheet10.3 (new)'!NumExercises,'Spreadsheet10.3 (new)'!NumExercises)</definedName>
    <definedName name="RFwdVols">OFFSET([0]!FwdVolRangeTopCell,0,0,[0]!NumExercises,[0]!NumExercises)</definedName>
    <definedName name="rho" localSheetId="2">#REF!</definedName>
    <definedName name="rho">#REF!</definedName>
    <definedName name="Rhos" localSheetId="2">#REF!</definedName>
    <definedName name="Rhos">#REF!</definedName>
    <definedName name="RhoTerm" localSheetId="2">#REF!</definedName>
    <definedName name="RhoTerm">#REF!</definedName>
    <definedName name="RISKY_MARKET" localSheetId="2">#REF!</definedName>
    <definedName name="RISKY_MARKET">#REF!</definedName>
    <definedName name="RiskyInsDef" localSheetId="2">#REF!</definedName>
    <definedName name="RiskyInsDef">#REF!</definedName>
    <definedName name="RiskyInsParRate" localSheetId="2">#REF!</definedName>
    <definedName name="RiskyInsParRate">#REF!</definedName>
    <definedName name="RiskyInsPrem" localSheetId="2">#REF!</definedName>
    <definedName name="RiskyInsPrem">#REF!</definedName>
    <definedName name="RiskyInsPV" localSheetId="2">#REF!</definedName>
    <definedName name="RiskyInsPV">#REF!</definedName>
    <definedName name="RiskyLevel" localSheetId="2">#REF!</definedName>
    <definedName name="RiskyLevel">#REF!</definedName>
    <definedName name="RiskyLevels" localSheetId="2">#REF!</definedName>
    <definedName name="RiskyLevels">#REF!</definedName>
    <definedName name="RiskyMarket" localSheetId="2">#REF!</definedName>
    <definedName name="RiskyMarket">#REF!</definedName>
    <definedName name="RL" localSheetId="2">#REF!</definedName>
    <definedName name="RL">#REF!</definedName>
    <definedName name="RLBaseTranche1" localSheetId="2">#REF!</definedName>
    <definedName name="RLBaseTranche1">#REF!</definedName>
    <definedName name="RLBaseTranche2" localSheetId="2">#REF!</definedName>
    <definedName name="RLBaseTranche2">#REF!</definedName>
    <definedName name="RLevel">[10]BlackModel!$D$10</definedName>
    <definedName name="RLevel2" localSheetId="2">#REF!</definedName>
    <definedName name="RLevel2">#REF!</definedName>
    <definedName name="Rounding" localSheetId="1">Spreadsheet10.2!#REF!</definedName>
    <definedName name="Rounding" localSheetId="2">'Spreadsheet10.3 (new)'!#REF!</definedName>
    <definedName name="Rounding">Spreadsheet10.1!#REF!</definedName>
    <definedName name="Rounding2" localSheetId="2">#REF!</definedName>
    <definedName name="Rounding2">#REF!</definedName>
    <definedName name="sA">[5]MeanVariance!$O$17</definedName>
    <definedName name="sB">[5]MeanVariance!$O$18</definedName>
    <definedName name="sC">[5]MeanVariance!$O$19</definedName>
    <definedName name="ScenarioOutput" localSheetId="2">#REF!</definedName>
    <definedName name="ScenarioOutput">#REF!</definedName>
    <definedName name="Scenarios">[9]Recursion!$F$14</definedName>
    <definedName name="sD">[5]MeanVariance!$O$20</definedName>
    <definedName name="secondcurrency" localSheetId="2">#REF!</definedName>
    <definedName name="secondcurrency">#REF!</definedName>
    <definedName name="Seed">[9]MonteCarlo!$C$12</definedName>
    <definedName name="Seed2">[2]CollateralMarginCall!$G$8</definedName>
    <definedName name="SET_DATE" localSheetId="2">#REF!</definedName>
    <definedName name="SET_DATE">#REF!</definedName>
    <definedName name="SettleDate">'[5]Bond Price with Excel'!$B$14</definedName>
    <definedName name="SharesOutstanding" localSheetId="2">#REF!</definedName>
    <definedName name="SharesOutstanding">#REF!</definedName>
    <definedName name="ShiftAmount" localSheetId="2">#REF!</definedName>
    <definedName name="ShiftAmount">#REF!</definedName>
    <definedName name="ShowPath" localSheetId="2">#REF!</definedName>
    <definedName name="ShowPath">#REF!</definedName>
    <definedName name="ShowPaths">[3]TreePricer!$C$11</definedName>
    <definedName name="Sigma" localSheetId="0">Spreadsheet10.1!#REF!</definedName>
    <definedName name="Sigma" localSheetId="1">Spreadsheet10.2!#REF!</definedName>
    <definedName name="Sigma" localSheetId="2">'Spreadsheet10.3 (new)'!#REF!</definedName>
    <definedName name="Sigma">#REF!</definedName>
    <definedName name="sigma1" localSheetId="2">#REF!</definedName>
    <definedName name="sigma1">#REF!</definedName>
    <definedName name="sigma2" localSheetId="2">#REF!</definedName>
    <definedName name="sigma2">#REF!</definedName>
    <definedName name="Sigma3" localSheetId="2">#REF!</definedName>
    <definedName name="Sigma3">#REF!</definedName>
    <definedName name="SigmaVector">[5]MeanVariance!$E$3:$E$6</definedName>
    <definedName name="SigmaVolume" localSheetId="2">#REF!</definedName>
    <definedName name="SigmaVolume">#REF!</definedName>
    <definedName name="SimCount">[9]MonteCarlo!$C$13</definedName>
    <definedName name="SimResults">[9]MonteCarlo!$B$15</definedName>
    <definedName name="Sims">[8]MonteCarlo!$F$4</definedName>
    <definedName name="SimulationResults">[3]HedgingSimulation!$R$4</definedName>
    <definedName name="Simulations" localSheetId="2">#REF!</definedName>
    <definedName name="Simulations">#REF!</definedName>
    <definedName name="SizeCouponSchedule" localSheetId="2">#REF!</definedName>
    <definedName name="SizeCouponSchedule">#REF!</definedName>
    <definedName name="SOURCE" localSheetId="2">#REF!</definedName>
    <definedName name="SOURCE">#REF!</definedName>
    <definedName name="SourceCell" localSheetId="2">#REF!</definedName>
    <definedName name="SourceCell">#REF!</definedName>
    <definedName name="SplinePointsa" localSheetId="2">#REF!</definedName>
    <definedName name="SplinePointsa">#REF!</definedName>
    <definedName name="Spot">[4]HedgingSimulation!$C$7</definedName>
    <definedName name="Spread" localSheetId="2">#REF!</definedName>
    <definedName name="Spread">#REF!</definedName>
    <definedName name="SpreadAgent" localSheetId="2">[6]CVA!#REF!</definedName>
    <definedName name="SpreadAgent">[6]CVA!#REF!</definedName>
    <definedName name="SpreadCntrpty" localSheetId="2">[2]CVA!#REF!</definedName>
    <definedName name="SpreadCntrpty">[2]CVA!#REF!</definedName>
    <definedName name="SpreadLowerTranche" localSheetId="2">#REF!</definedName>
    <definedName name="SpreadLowerTranche">#REF!</definedName>
    <definedName name="SpreadMulti" localSheetId="2">#REF!</definedName>
    <definedName name="SpreadMulti">#REF!</definedName>
    <definedName name="SpreadRef">[2]CDSCntrptyRisk!$C$7</definedName>
    <definedName name="SpreadScenario" localSheetId="2">#REF!</definedName>
    <definedName name="SpreadScenario">#REF!</definedName>
    <definedName name="SpreadSys" localSheetId="2">[6]CVA!#REF!</definedName>
    <definedName name="SpreadSys">[6]CVA!#REF!</definedName>
    <definedName name="SpreadUpperTranche" localSheetId="2">#REF!</definedName>
    <definedName name="SpreadUpperTranche">#REF!</definedName>
    <definedName name="SQrtTerm" localSheetId="2">#REF!</definedName>
    <definedName name="SQrtTerm">#REF!</definedName>
    <definedName name="Sstar">[9]CreditGrades!$C$11</definedName>
    <definedName name="start_date" localSheetId="2">#REF!</definedName>
    <definedName name="start_date">#REF!</definedName>
    <definedName name="StartCopyCell" localSheetId="2">#REF!</definedName>
    <definedName name="StartCopyCell">#REF!</definedName>
    <definedName name="StartCouponSchedule" localSheetId="2">#REF!</definedName>
    <definedName name="StartCouponSchedule">#REF!</definedName>
    <definedName name="Starting_Point" localSheetId="2">#REF!</definedName>
    <definedName name="Starting_Point">#REF!</definedName>
    <definedName name="STBorrowings" localSheetId="2">#REF!</definedName>
    <definedName name="STBorrowings">#REF!</definedName>
    <definedName name="StdDev" localSheetId="2">#REF!</definedName>
    <definedName name="StdDev">#REF!</definedName>
    <definedName name="StdDevExposure">[2]Netting!$D$9</definedName>
    <definedName name="StdExposures">[2]Portfolio!$F$8</definedName>
    <definedName name="Steps">[8]MonteCarlo!$F$3</definedName>
    <definedName name="StepSize" localSheetId="2">#REF!</definedName>
    <definedName name="StepSize">#REF!</definedName>
    <definedName name="StepsPerHedge" localSheetId="2">#REF!</definedName>
    <definedName name="StepsPerHedge">#REF!</definedName>
    <definedName name="Stock">[4]OptionPricer!$C$7</definedName>
    <definedName name="StockData">[3]UnderlyingValueTree!$A$1</definedName>
    <definedName name="StockPrice" localSheetId="2">#REF!</definedName>
    <definedName name="StockPrice">#REF!</definedName>
    <definedName name="StockVol">[3]CreditGrades!$C$9</definedName>
    <definedName name="Strike">[4]OptionPricer!$C$8</definedName>
    <definedName name="StrikeMC">[8]MonteCarlo!$C$4</definedName>
    <definedName name="SttDev" localSheetId="2">#REF!</definedName>
    <definedName name="SttDev">#REF!</definedName>
    <definedName name="Study_Period" localSheetId="2">#REF!</definedName>
    <definedName name="Study_Period">#REF!</definedName>
    <definedName name="SurvProb" localSheetId="2">[20]BlackModel!#REF!</definedName>
    <definedName name="SurvProb">[20]BlackModel!#REF!</definedName>
    <definedName name="SVol">[9]CreditGrades!$C$14</definedName>
    <definedName name="SwapChoices" localSheetId="2">#REF!</definedName>
    <definedName name="SwapChoices">#REF!</definedName>
    <definedName name="SwapChoices3" localSheetId="2">#REF!</definedName>
    <definedName name="SwapChoices3">#REF!</definedName>
    <definedName name="SwapPayments" localSheetId="2">#REF!</definedName>
    <definedName name="SwapPayments">#REF!</definedName>
    <definedName name="SwapType" localSheetId="2">#REF!</definedName>
    <definedName name="SwapType">#REF!</definedName>
    <definedName name="TargetReturn">[5]MeanVariance!$J$18</definedName>
    <definedName name="TargetSpread" localSheetId="2">#REF!</definedName>
    <definedName name="TargetSpread">#REF!</definedName>
    <definedName name="TargSpread" localSheetId="2">#REF!</definedName>
    <definedName name="TargSpread">#REF!</definedName>
    <definedName name="Tau" localSheetId="2">#REF!</definedName>
    <definedName name="Tau">#REF!</definedName>
    <definedName name="TENOR" localSheetId="2">#REF!</definedName>
    <definedName name="TENOR">#REF!</definedName>
    <definedName name="Tenors" localSheetId="2">#REF!</definedName>
    <definedName name="Tenors">#REF!</definedName>
    <definedName name="TenorToShift" localSheetId="2">#REF!</definedName>
    <definedName name="TenorToShift">#REF!</definedName>
    <definedName name="TenYearFactor" localSheetId="2">#REF!</definedName>
    <definedName name="TenYearFactor">#REF!</definedName>
    <definedName name="term" localSheetId="2">#REF!</definedName>
    <definedName name="term">#REF!</definedName>
    <definedName name="ThisMaturity" localSheetId="2">#REF!</definedName>
    <definedName name="ThisMaturity">#REF!</definedName>
    <definedName name="Threshold">[2]CollateralMarginCall!$C$8</definedName>
    <definedName name="Threshold_A" localSheetId="1">Spreadsheet10.2!#REF!</definedName>
    <definedName name="Threshold_A" localSheetId="2">'Spreadsheet10.3 (new)'!#REF!</definedName>
    <definedName name="Threshold_A">Spreadsheet10.1!#REF!</definedName>
    <definedName name="Threshold_B" localSheetId="1">Spreadsheet10.2!#REF!</definedName>
    <definedName name="Threshold_B" localSheetId="2">'Spreadsheet10.3 (new)'!#REF!</definedName>
    <definedName name="Threshold_B">Spreadsheet10.1!#REF!</definedName>
    <definedName name="Threshold1" localSheetId="2">#REF!</definedName>
    <definedName name="Threshold1">#REF!</definedName>
    <definedName name="Threshold2">[2]CollateralMarginCall!$D$8</definedName>
    <definedName name="Threshold3" localSheetId="2">#REF!</definedName>
    <definedName name="Threshold3">#REF!</definedName>
    <definedName name="Threshold4" localSheetId="2">#REF!</definedName>
    <definedName name="Threshold4">#REF!</definedName>
    <definedName name="Threshold5" localSheetId="2">#REF!</definedName>
    <definedName name="Threshold5">#REF!</definedName>
    <definedName name="ThresholdInput" localSheetId="2">#REF!</definedName>
    <definedName name="ThresholdInput">#REF!</definedName>
    <definedName name="Thresholds">[2]Portfolio!$D$8</definedName>
    <definedName name="Ticker" localSheetId="2">#REF!</definedName>
    <definedName name="Ticker">#REF!</definedName>
    <definedName name="tier_one_ratio" localSheetId="2">#REF!</definedName>
    <definedName name="tier_one_ratio">#REF!</definedName>
    <definedName name="Time" localSheetId="2">#REF!</definedName>
    <definedName name="Time">#REF!</definedName>
    <definedName name="Time2" localSheetId="2">#REF!</definedName>
    <definedName name="Time2">#REF!</definedName>
    <definedName name="TimeHorizon" localSheetId="2">#REF!</definedName>
    <definedName name="TimeHorizon">#REF!</definedName>
    <definedName name="TimeIntPoints" localSheetId="2">#REF!</definedName>
    <definedName name="TimeIntPoints">#REF!</definedName>
    <definedName name="timestep">[4]HedgingSimulation!$G$9</definedName>
    <definedName name="tmat" localSheetId="2">#REF!</definedName>
    <definedName name="tmat">#REF!</definedName>
    <definedName name="tmat2" localSheetId="2">#REF!</definedName>
    <definedName name="tmat2">#REF!</definedName>
    <definedName name="tmat3" localSheetId="2">#REF!</definedName>
    <definedName name="tmat3">#REF!</definedName>
    <definedName name="tmat4" localSheetId="2">#REF!</definedName>
    <definedName name="tmat4">#REF!</definedName>
    <definedName name="TMTopLeft" localSheetId="2">#REF!</definedName>
    <definedName name="TMTopLeft">#REF!</definedName>
    <definedName name="TODAY" localSheetId="2">#REF!</definedName>
    <definedName name="TODAY">#REF!</definedName>
    <definedName name="Total_Facilities" localSheetId="2">#REF!</definedName>
    <definedName name="Total_Facilities">#REF!</definedName>
    <definedName name="TotalCommonEquity" localSheetId="2">#REF!</definedName>
    <definedName name="TotalCommonEquity">#REF!</definedName>
    <definedName name="TotalExposure">[2]CollateralMarginCall!$C$12</definedName>
    <definedName name="TotalMargEPE">[2]EPEAllocation!$C$23</definedName>
    <definedName name="TotalNot" localSheetId="2">#REF!</definedName>
    <definedName name="TotalNot">#REF!</definedName>
    <definedName name="TotalNotional">[9]Portfolio!$J$15</definedName>
    <definedName name="TotalPnL">[3]HedgingSimulation!$L$10</definedName>
    <definedName name="TotalPV" localSheetId="2">#REF!</definedName>
    <definedName name="TotalPV">#REF!</definedName>
    <definedName name="TotalRequiredCollateralisation2" localSheetId="2">#REF!</definedName>
    <definedName name="TotalRequiredCollateralisation2">#REF!</definedName>
    <definedName name="TotalRequiredCollaterlisation" localSheetId="2">#REF!</definedName>
    <definedName name="TotalRequiredCollaterlisation">#REF!</definedName>
    <definedName name="TotalSpdIncome">[9]PortfolioAnalysis!$C$11</definedName>
    <definedName name="TotIssCurveRange" localSheetId="2">#REF!</definedName>
    <definedName name="TotIssCurveRange">#REF!</definedName>
    <definedName name="TotZeroCurveRange" localSheetId="2">#REF!</definedName>
    <definedName name="TotZeroCurveRange">#REF!</definedName>
    <definedName name="TrancheDefLeg" localSheetId="2">#REF!</definedName>
    <definedName name="TrancheDefLeg">#REF!</definedName>
    <definedName name="TrancheEL" localSheetId="2">#REF!</definedName>
    <definedName name="TrancheEL">#REF!</definedName>
    <definedName name="TrancheNot" localSheetId="2">#REF!</definedName>
    <definedName name="TrancheNot">#REF!</definedName>
    <definedName name="TrancheNotional" localSheetId="2">#REF!</definedName>
    <definedName name="TrancheNotional">#REF!</definedName>
    <definedName name="TranchePremiums" localSheetId="2">#REF!</definedName>
    <definedName name="TranchePremiums">#REF!</definedName>
    <definedName name="TranchePremLeg" localSheetId="2">#REF!</definedName>
    <definedName name="TranchePremLeg">#REF!</definedName>
    <definedName name="TrancheRL" localSheetId="2">#REF!</definedName>
    <definedName name="TrancheRL">#REF!</definedName>
    <definedName name="transaction_notional_Amont" localSheetId="2">#REF!</definedName>
    <definedName name="transaction_notional_Amont">#REF!</definedName>
    <definedName name="Transition_Matrix" localSheetId="2">#REF!</definedName>
    <definedName name="Transition_Matrix">#REF!</definedName>
    <definedName name="TreeStep" localSheetId="2">#REF!</definedName>
    <definedName name="TreeStep">#REF!</definedName>
    <definedName name="type" localSheetId="2">#REF!</definedName>
    <definedName name="type">#REF!</definedName>
    <definedName name="typeasset" localSheetId="2">#REF!</definedName>
    <definedName name="typeasset">#REF!</definedName>
    <definedName name="TypeChoices" localSheetId="2">#REF!</definedName>
    <definedName name="TypeChoices">#REF!</definedName>
    <definedName name="typeIndex" localSheetId="2">#REF!</definedName>
    <definedName name="typeIndex">#REF!</definedName>
    <definedName name="Typeofswap" localSheetId="2">#REF!</definedName>
    <definedName name="Typeofswap">#REF!</definedName>
    <definedName name="U1CMT" localSheetId="2">#REF!</definedName>
    <definedName name="U1CMT">#REF!</definedName>
    <definedName name="Uncertainty_of_Barrier" localSheetId="2">#REF!</definedName>
    <definedName name="Uncertainty_of_Barrier">#REF!</definedName>
    <definedName name="UnitVector">[5]MeanVariance!$L$3:$L$6</definedName>
    <definedName name="Unwind" localSheetId="2">#REF!</definedName>
    <definedName name="Unwind">#REF!</definedName>
    <definedName name="UnwindCost" localSheetId="2">#REF!</definedName>
    <definedName name="UnwindCost">#REF!</definedName>
    <definedName name="Upper">[7]SimpleIntegration!$C$3</definedName>
    <definedName name="UpperBaseTrancheAttach" localSheetId="2">#REF!</definedName>
    <definedName name="UpperBaseTrancheAttach">#REF!</definedName>
    <definedName name="UpperTrancheEURCorrel" localSheetId="2">#REF!</definedName>
    <definedName name="UpperTrancheEURCorrel">#REF!</definedName>
    <definedName name="UpperTrancheUSCorrel" localSheetId="2">#REF!</definedName>
    <definedName name="UpperTrancheUSCorrel">#REF!</definedName>
    <definedName name="UseApprox" localSheetId="2">Spreadsheet10.2!#REF!</definedName>
    <definedName name="UseApprox">Spreadsheet10.2!#REF!</definedName>
    <definedName name="UseCouponSchedule" localSheetId="2">#REF!</definedName>
    <definedName name="UseCouponSchedule">#REF!</definedName>
    <definedName name="UseMigrationLoss" localSheetId="2">#REF!</definedName>
    <definedName name="UseMigrationLoss">#REF!</definedName>
    <definedName name="USExpLoss" localSheetId="2">#REF!</definedName>
    <definedName name="USExpLoss">#REF!</definedName>
    <definedName name="Val1A" localSheetId="2">[6]CVA!#REF!</definedName>
    <definedName name="Val1A">[6]CVA!#REF!</definedName>
    <definedName name="Val2A">[2]CVA!$I$4</definedName>
    <definedName name="Val3A">[2]CVA!$I$5</definedName>
    <definedName name="ValueDate" localSheetId="2">#REF!</definedName>
    <definedName name="ValueDate">#REF!</definedName>
    <definedName name="VaR" localSheetId="2">#REF!</definedName>
    <definedName name="VaR">#REF!</definedName>
    <definedName name="Variables">[9]Recursion!$B$121</definedName>
    <definedName name="Variance" localSheetId="2">#REF!</definedName>
    <definedName name="Variance">#REF!</definedName>
    <definedName name="VarianceBarrier" localSheetId="2">#REF!</definedName>
    <definedName name="VarianceBarrier">#REF!</definedName>
    <definedName name="vnot">'[19]Class Problems'!$G$39</definedName>
    <definedName name="Vol" localSheetId="2">[11]OptionPricer!#REF!</definedName>
    <definedName name="Vol">[11]OptionPricer!#REF!</definedName>
    <definedName name="Volatilities" localSheetId="2">#REF!</definedName>
    <definedName name="Volatilities">#REF!</definedName>
    <definedName name="Volatility" localSheetId="2">#REF!</definedName>
    <definedName name="Volatility">#REF!</definedName>
    <definedName name="VolatilityOfPosition" localSheetId="2">#REF!</definedName>
    <definedName name="VolatilityOfPosition">#REF!</definedName>
    <definedName name="VolCollateral" localSheetId="2">#REF!</definedName>
    <definedName name="VolCollateral">#REF!</definedName>
    <definedName name="volCurve" localSheetId="2">#REF!</definedName>
    <definedName name="volCurve">#REF!</definedName>
    <definedName name="volCurve2" localSheetId="2">#REF!</definedName>
    <definedName name="volCurve2">#REF!</definedName>
    <definedName name="VolExposure" localSheetId="2">#REF!</definedName>
    <definedName name="VolExposure">#REF!</definedName>
    <definedName name="VolMC">[8]MonteCarlo!$C$7</definedName>
    <definedName name="VolSqrtDt">[8]MonteCarlo!$F$7</definedName>
    <definedName name="Volume" localSheetId="2">#REF!</definedName>
    <definedName name="Volume">#REF!</definedName>
    <definedName name="VolumeToLiquidate" localSheetId="2">#REF!</definedName>
    <definedName name="VolumeToLiquidate">#REF!</definedName>
    <definedName name="WADP" localSheetId="2">#REF!</definedName>
    <definedName name="WADP">#REF!</definedName>
    <definedName name="WeBuyFrom" localSheetId="2">#REF!</definedName>
    <definedName name="WeBuyFrom">#REF!</definedName>
    <definedName name="WeightEUR" localSheetId="2">#REF!</definedName>
    <definedName name="WeightEUR">#REF!</definedName>
    <definedName name="Weights" localSheetId="2">#REF!</definedName>
    <definedName name="Weights">#REF!</definedName>
    <definedName name="WeightVector">[5]MeanVariance!$C$3:$C$6</definedName>
    <definedName name="WeightVector1">[5]MeanVariance!$G$18:$G$21</definedName>
    <definedName name="WeightVector2">[5]MeanVariance!$K$18:$K$21</definedName>
    <definedName name="WestMarket" localSheetId="2">#REF!</definedName>
    <definedName name="WestMarket">#REF!</definedName>
    <definedName name="Workbook" localSheetId="2">#REF!</definedName>
    <definedName name="Workbook">#REF!</definedName>
    <definedName name="Worksheet_List" localSheetId="2">#REF!</definedName>
    <definedName name="Worksheet_List">#REF!</definedName>
    <definedName name="X2OverS">[4]OptionPricer!$C$21</definedName>
    <definedName name="xx" localSheetId="2">#REF!</definedName>
    <definedName name="xx">#REF!</definedName>
    <definedName name="YearToMaturity">'[5]Bond Price with Excel'!$B$18</definedName>
    <definedName name="Yield">'[5]Bond Price with Excel'!$B$13</definedName>
    <definedName name="YieldCurveId" localSheetId="2">#REF!</definedName>
    <definedName name="YieldCurveId">#REF!</definedName>
    <definedName name="YieldCurveName" localSheetId="2">#REF!</definedName>
    <definedName name="YieldCurveName">#REF!</definedName>
    <definedName name="zeroCurve" localSheetId="2">#REF!</definedName>
    <definedName name="zeroCurve">#REF!</definedName>
    <definedName name="ZeroCurveRange" localSheetId="2">OFFSET(#REF!,1,0,#REF!,1)</definedName>
    <definedName name="ZeroCurveRange">OFFSET(#REF!,1,0,#REF!,1)</definedName>
  </definedNames>
  <calcPr calcId="162913" concurrentCalc="0"/>
</workbook>
</file>

<file path=xl/calcChain.xml><?xml version="1.0" encoding="utf-8"?>
<calcChain xmlns="http://schemas.openxmlformats.org/spreadsheetml/2006/main">
  <c r="D26" i="6" l="1"/>
  <c r="D27" i="6"/>
  <c r="D28" i="6"/>
  <c r="D29" i="6"/>
  <c r="D30" i="6"/>
  <c r="B26" i="6"/>
  <c r="B27" i="6"/>
  <c r="B28" i="6"/>
  <c r="B29" i="6"/>
  <c r="B30" i="6"/>
  <c r="C30" i="6"/>
  <c r="G30" i="6"/>
  <c r="D31" i="6"/>
  <c r="D32" i="6"/>
  <c r="D33" i="6"/>
  <c r="D34" i="6"/>
  <c r="D35" i="6"/>
  <c r="B31" i="6"/>
  <c r="B32" i="6"/>
  <c r="B33" i="6"/>
  <c r="B34" i="6"/>
  <c r="B35" i="6"/>
  <c r="C35" i="6"/>
  <c r="G35" i="6"/>
  <c r="D36" i="6"/>
  <c r="D37" i="6"/>
  <c r="D38" i="6"/>
  <c r="D39" i="6"/>
  <c r="D40" i="6"/>
  <c r="B36" i="6"/>
  <c r="B37" i="6"/>
  <c r="B38" i="6"/>
  <c r="B39" i="6"/>
  <c r="B40" i="6"/>
  <c r="C40" i="6"/>
  <c r="G40" i="6"/>
  <c r="D41" i="6"/>
  <c r="D42" i="6"/>
  <c r="D43" i="6"/>
  <c r="D44" i="6"/>
  <c r="D45" i="6"/>
  <c r="B41" i="6"/>
  <c r="B42" i="6"/>
  <c r="B43" i="6"/>
  <c r="B44" i="6"/>
  <c r="B45" i="6"/>
  <c r="C45" i="6"/>
  <c r="G45" i="6"/>
  <c r="D46" i="6"/>
  <c r="D47" i="6"/>
  <c r="D48" i="6"/>
  <c r="D49" i="6"/>
  <c r="D50" i="6"/>
  <c r="B46" i="6"/>
  <c r="B47" i="6"/>
  <c r="B48" i="6"/>
  <c r="B49" i="6"/>
  <c r="B50" i="6"/>
  <c r="C50" i="6"/>
  <c r="G50" i="6"/>
  <c r="D51" i="6"/>
  <c r="D52" i="6"/>
  <c r="D53" i="6"/>
  <c r="D54" i="6"/>
  <c r="D55" i="6"/>
  <c r="B51" i="6"/>
  <c r="B52" i="6"/>
  <c r="B53" i="6"/>
  <c r="B54" i="6"/>
  <c r="B55" i="6"/>
  <c r="C55" i="6"/>
  <c r="G55" i="6"/>
  <c r="D56" i="6"/>
  <c r="D57" i="6"/>
  <c r="D58" i="6"/>
  <c r="D59" i="6"/>
  <c r="D60" i="6"/>
  <c r="B56" i="6"/>
  <c r="B57" i="6"/>
  <c r="B58" i="6"/>
  <c r="B59" i="6"/>
  <c r="B60" i="6"/>
  <c r="C60" i="6"/>
  <c r="G60" i="6"/>
  <c r="D61" i="6"/>
  <c r="D62" i="6"/>
  <c r="D63" i="6"/>
  <c r="D64" i="6"/>
  <c r="D65" i="6"/>
  <c r="B61" i="6"/>
  <c r="B62" i="6"/>
  <c r="B63" i="6"/>
  <c r="B64" i="6"/>
  <c r="B65" i="6"/>
  <c r="C65" i="6"/>
  <c r="G65" i="6"/>
  <c r="I7" i="6"/>
  <c r="I6" i="6"/>
  <c r="C33" i="7"/>
  <c r="C38" i="7"/>
  <c r="C37" i="7"/>
  <c r="C36" i="7"/>
  <c r="C35" i="7"/>
  <c r="C34" i="7"/>
  <c r="B38" i="7"/>
  <c r="B37" i="7"/>
  <c r="B36" i="7"/>
  <c r="B35" i="7"/>
  <c r="B34" i="7"/>
  <c r="E12" i="7"/>
  <c r="H12" i="7"/>
  <c r="F12" i="7"/>
  <c r="F11" i="7"/>
  <c r="G12" i="7"/>
  <c r="E13" i="7"/>
  <c r="H13" i="7"/>
  <c r="E25" i="6"/>
  <c r="E26" i="6"/>
  <c r="H17" i="6"/>
  <c r="H16" i="6"/>
  <c r="H15" i="6"/>
  <c r="H14" i="6"/>
  <c r="H13" i="6"/>
  <c r="C20" i="4" a="1"/>
  <c r="C20" i="4"/>
  <c r="H20" i="4"/>
  <c r="E21" i="4"/>
  <c r="F22" i="4"/>
  <c r="H22" i="4"/>
  <c r="I23" i="4"/>
  <c r="D24" i="4"/>
  <c r="E25" i="4"/>
  <c r="I25" i="4"/>
  <c r="E28" i="6"/>
  <c r="C26" i="6"/>
  <c r="I121" i="6"/>
  <c r="I122" i="6"/>
  <c r="I123" i="6"/>
  <c r="I124" i="6"/>
  <c r="I116" i="6"/>
  <c r="I117" i="6"/>
  <c r="I118" i="6"/>
  <c r="I119" i="6"/>
  <c r="I111" i="6"/>
  <c r="I106" i="6"/>
  <c r="I107" i="6"/>
  <c r="I108" i="6"/>
  <c r="I109" i="6"/>
  <c r="I101" i="6"/>
  <c r="I102" i="6"/>
  <c r="I103" i="6"/>
  <c r="I96" i="6"/>
  <c r="I97" i="6"/>
  <c r="I98" i="6"/>
  <c r="I99" i="6"/>
  <c r="I91" i="6"/>
  <c r="I92" i="6"/>
  <c r="I86" i="6"/>
  <c r="I87" i="6"/>
  <c r="I88" i="6"/>
  <c r="I89" i="6"/>
  <c r="I81" i="6"/>
  <c r="I82" i="6"/>
  <c r="I83" i="6"/>
  <c r="I84" i="6"/>
  <c r="I76" i="6"/>
  <c r="I77" i="6"/>
  <c r="I78" i="6"/>
  <c r="I79" i="6"/>
  <c r="I71" i="6"/>
  <c r="I72" i="6"/>
  <c r="I73" i="6"/>
  <c r="I74" i="6"/>
  <c r="I66" i="6"/>
  <c r="I67" i="6"/>
  <c r="I68" i="6"/>
  <c r="I61" i="6"/>
  <c r="I62" i="6"/>
  <c r="I63" i="6"/>
  <c r="I56" i="6"/>
  <c r="I57" i="6"/>
  <c r="I58" i="6"/>
  <c r="I59" i="6"/>
  <c r="I51" i="6"/>
  <c r="I52" i="6"/>
  <c r="I53" i="6"/>
  <c r="I54" i="6"/>
  <c r="I46" i="6"/>
  <c r="I47" i="6"/>
  <c r="I48" i="6"/>
  <c r="I41" i="6"/>
  <c r="I42" i="6"/>
  <c r="I43" i="6"/>
  <c r="I44" i="6"/>
  <c r="I36" i="6"/>
  <c r="I31" i="6"/>
  <c r="I32" i="6"/>
  <c r="I33" i="6"/>
  <c r="I27" i="6"/>
  <c r="I28" i="6"/>
  <c r="I29" i="6"/>
  <c r="C25" i="6"/>
  <c r="L12" i="4"/>
  <c r="L13" i="4"/>
  <c r="J17" i="4"/>
  <c r="S11" i="4"/>
  <c r="J16" i="4"/>
  <c r="R11" i="4"/>
  <c r="J15" i="4"/>
  <c r="Q11" i="4"/>
  <c r="J14" i="4"/>
  <c r="P11" i="4"/>
  <c r="J13" i="4"/>
  <c r="O11" i="4"/>
  <c r="J12" i="4"/>
  <c r="N11" i="4"/>
  <c r="J11" i="4"/>
  <c r="M11" i="4"/>
  <c r="M10" i="4" a="1"/>
  <c r="O10" i="4"/>
  <c r="B19" i="4"/>
  <c r="B28" i="4"/>
  <c r="B37" i="4"/>
  <c r="B46" i="4"/>
  <c r="B55" i="4"/>
  <c r="B64" i="4"/>
  <c r="B73" i="4"/>
  <c r="B82" i="4"/>
  <c r="B91" i="4"/>
  <c r="G26" i="4"/>
  <c r="E26" i="4"/>
  <c r="F25" i="4"/>
  <c r="I24" i="4"/>
  <c r="E24" i="4"/>
  <c r="H23" i="4"/>
  <c r="F23" i="4"/>
  <c r="I22" i="4"/>
  <c r="G22" i="4"/>
  <c r="C22" i="4"/>
  <c r="D21" i="4"/>
  <c r="I20" i="4"/>
  <c r="E20" i="4"/>
  <c r="F13" i="7"/>
  <c r="H25" i="4"/>
  <c r="R10" i="4"/>
  <c r="F26" i="4"/>
  <c r="C25" i="4"/>
  <c r="G23" i="4"/>
  <c r="I21" i="4"/>
  <c r="F20" i="4"/>
  <c r="F21" i="4"/>
  <c r="D23" i="4"/>
  <c r="G24" i="4"/>
  <c r="C26" i="4"/>
  <c r="P10" i="4"/>
  <c r="D26" i="4"/>
  <c r="H24" i="4"/>
  <c r="C23" i="4"/>
  <c r="G21" i="4"/>
  <c r="D20" i="4"/>
  <c r="M10" i="4"/>
  <c r="G13" i="7"/>
  <c r="E14" i="7"/>
  <c r="H14" i="7"/>
  <c r="L14" i="4"/>
  <c r="S10" i="4"/>
  <c r="Q10" i="4"/>
  <c r="N10" i="4"/>
  <c r="E23" i="4"/>
  <c r="J23" i="4"/>
  <c r="P12" i="4"/>
  <c r="G20" i="4"/>
  <c r="H21" i="4"/>
  <c r="E22" i="4"/>
  <c r="C24" i="4"/>
  <c r="D25" i="4"/>
  <c r="I26" i="4"/>
  <c r="H26" i="4"/>
  <c r="G25" i="4"/>
  <c r="F24" i="4"/>
  <c r="D22" i="4"/>
  <c r="J22" i="4"/>
  <c r="O12" i="4"/>
  <c r="C21" i="4"/>
  <c r="J21" i="4"/>
  <c r="N12" i="4"/>
  <c r="E27" i="6"/>
  <c r="F26" i="6"/>
  <c r="J26" i="6"/>
  <c r="C27" i="6"/>
  <c r="I93" i="6"/>
  <c r="I112" i="6"/>
  <c r="I37" i="6"/>
  <c r="I69" i="6"/>
  <c r="F27" i="6"/>
  <c r="F28" i="6"/>
  <c r="I64" i="6"/>
  <c r="I104" i="6"/>
  <c r="I125" i="6"/>
  <c r="I49" i="6"/>
  <c r="I34" i="6"/>
  <c r="F14" i="7"/>
  <c r="J26" i="4"/>
  <c r="S12" i="4"/>
  <c r="J25" i="4"/>
  <c r="R12" i="4"/>
  <c r="J20" i="4"/>
  <c r="M12" i="4"/>
  <c r="G14" i="7"/>
  <c r="E15" i="7"/>
  <c r="H15" i="7"/>
  <c r="E16" i="7"/>
  <c r="H16" i="7"/>
  <c r="J24" i="4"/>
  <c r="Q12" i="4"/>
  <c r="C29" i="4" a="1"/>
  <c r="L15" i="4"/>
  <c r="F29" i="6"/>
  <c r="J29" i="6"/>
  <c r="E29" i="6"/>
  <c r="H26" i="6"/>
  <c r="J27" i="6"/>
  <c r="H27" i="6"/>
  <c r="I113" i="6"/>
  <c r="I94" i="6"/>
  <c r="I38" i="6"/>
  <c r="J28" i="6"/>
  <c r="F16" i="7"/>
  <c r="F15" i="7"/>
  <c r="G15" i="7"/>
  <c r="G16" i="7"/>
  <c r="E17" i="7"/>
  <c r="H17" i="7"/>
  <c r="E18" i="7"/>
  <c r="H18" i="7"/>
  <c r="I29" i="4"/>
  <c r="C31" i="4"/>
  <c r="D32" i="4"/>
  <c r="E33" i="4"/>
  <c r="F34" i="4"/>
  <c r="G35" i="4"/>
  <c r="H29" i="4"/>
  <c r="I30" i="4"/>
  <c r="C32" i="4"/>
  <c r="D33" i="4"/>
  <c r="E34" i="4"/>
  <c r="F35" i="4"/>
  <c r="G29" i="4"/>
  <c r="H30" i="4"/>
  <c r="I31" i="4"/>
  <c r="C33" i="4"/>
  <c r="D34" i="4"/>
  <c r="E35" i="4"/>
  <c r="F29" i="4"/>
  <c r="G30" i="4"/>
  <c r="H31" i="4"/>
  <c r="I32" i="4"/>
  <c r="C34" i="4"/>
  <c r="D35" i="4"/>
  <c r="C29" i="4"/>
  <c r="E31" i="4"/>
  <c r="G33" i="4"/>
  <c r="I35" i="4"/>
  <c r="D31" i="4"/>
  <c r="F33" i="4"/>
  <c r="H35" i="4"/>
  <c r="F30" i="4"/>
  <c r="I33" i="4"/>
  <c r="C30" i="4"/>
  <c r="G32" i="4"/>
  <c r="G31" i="4"/>
  <c r="E30" i="4"/>
  <c r="D30" i="4"/>
  <c r="H32" i="4"/>
  <c r="D29" i="4"/>
  <c r="E32" i="4"/>
  <c r="I34" i="4"/>
  <c r="H34" i="4"/>
  <c r="H33" i="4"/>
  <c r="C35" i="4"/>
  <c r="J35" i="4"/>
  <c r="S13" i="4"/>
  <c r="F31" i="4"/>
  <c r="E29" i="4"/>
  <c r="G34" i="4"/>
  <c r="F32" i="4"/>
  <c r="L16" i="4"/>
  <c r="F30" i="6"/>
  <c r="J30" i="6"/>
  <c r="E30" i="6"/>
  <c r="C28" i="6"/>
  <c r="H28" i="6"/>
  <c r="C29" i="6"/>
  <c r="H29" i="6"/>
  <c r="I39" i="6"/>
  <c r="I114" i="6"/>
  <c r="F17" i="7"/>
  <c r="F18" i="7"/>
  <c r="G18" i="7"/>
  <c r="G17" i="7"/>
  <c r="E19" i="7"/>
  <c r="H19" i="7"/>
  <c r="C38" i="4" a="1"/>
  <c r="J29" i="4"/>
  <c r="M13" i="4"/>
  <c r="J32" i="4"/>
  <c r="P13" i="4"/>
  <c r="J33" i="4"/>
  <c r="Q13" i="4"/>
  <c r="J34" i="4"/>
  <c r="R13" i="4"/>
  <c r="L17" i="4"/>
  <c r="J30" i="4"/>
  <c r="N13" i="4"/>
  <c r="J31" i="4"/>
  <c r="O13" i="4"/>
  <c r="F31" i="6"/>
  <c r="J31" i="6"/>
  <c r="E31" i="6"/>
  <c r="F19" i="7"/>
  <c r="G19" i="7"/>
  <c r="E20" i="7"/>
  <c r="H20" i="7"/>
  <c r="L18" i="4"/>
  <c r="G38" i="4"/>
  <c r="H39" i="4"/>
  <c r="I40" i="4"/>
  <c r="C42" i="4"/>
  <c r="D43" i="4"/>
  <c r="D38" i="4"/>
  <c r="F40" i="4"/>
  <c r="H42" i="4"/>
  <c r="G44" i="4"/>
  <c r="G39" i="4"/>
  <c r="I41" i="4"/>
  <c r="H44" i="4"/>
  <c r="E38" i="4"/>
  <c r="F39" i="4"/>
  <c r="G40" i="4"/>
  <c r="H41" i="4"/>
  <c r="I42" i="4"/>
  <c r="C44" i="4"/>
  <c r="I39" i="4"/>
  <c r="D42" i="4"/>
  <c r="E44" i="4"/>
  <c r="C39" i="4"/>
  <c r="E41" i="4"/>
  <c r="F44" i="4"/>
  <c r="C40" i="4"/>
  <c r="E42" i="4"/>
  <c r="H38" i="4"/>
  <c r="E43" i="4"/>
  <c r="D40" i="4"/>
  <c r="G43" i="4"/>
  <c r="E40" i="4"/>
  <c r="G41" i="4"/>
  <c r="I38" i="4"/>
  <c r="F41" i="4"/>
  <c r="E39" i="4"/>
  <c r="I44" i="4"/>
  <c r="C43" i="4"/>
  <c r="D39" i="4"/>
  <c r="G42" i="4"/>
  <c r="C41" i="4"/>
  <c r="F38" i="4"/>
  <c r="D44" i="4"/>
  <c r="F43" i="4"/>
  <c r="H40" i="4"/>
  <c r="I43" i="4"/>
  <c r="C38" i="4"/>
  <c r="F42" i="4"/>
  <c r="D41" i="4"/>
  <c r="H43" i="4"/>
  <c r="F32" i="6"/>
  <c r="J32" i="6"/>
  <c r="E32" i="6"/>
  <c r="H30" i="6"/>
  <c r="C31" i="6"/>
  <c r="H31" i="6"/>
  <c r="F20" i="7"/>
  <c r="J41" i="4"/>
  <c r="P14" i="4"/>
  <c r="G20" i="7"/>
  <c r="E21" i="7"/>
  <c r="H21" i="7"/>
  <c r="J42" i="4"/>
  <c r="Q14" i="4"/>
  <c r="J38" i="4"/>
  <c r="M14" i="4"/>
  <c r="C47" i="4" a="1"/>
  <c r="J39" i="4"/>
  <c r="N14" i="4"/>
  <c r="J44" i="4"/>
  <c r="S14" i="4"/>
  <c r="J43" i="4"/>
  <c r="R14" i="4"/>
  <c r="J40" i="4"/>
  <c r="O14" i="4"/>
  <c r="L19" i="4"/>
  <c r="F33" i="6"/>
  <c r="J33" i="6"/>
  <c r="E33" i="6"/>
  <c r="C32" i="6"/>
  <c r="H32" i="6"/>
  <c r="F21" i="7"/>
  <c r="G21" i="7"/>
  <c r="E22" i="7"/>
  <c r="H22" i="7"/>
  <c r="F47" i="4"/>
  <c r="C47" i="4"/>
  <c r="I48" i="4"/>
  <c r="C50" i="4"/>
  <c r="D51" i="4"/>
  <c r="E52" i="4"/>
  <c r="F53" i="4"/>
  <c r="F48" i="4"/>
  <c r="G49" i="4"/>
  <c r="H50" i="4"/>
  <c r="I51" i="4"/>
  <c r="C53" i="4"/>
  <c r="H47" i="4"/>
  <c r="D48" i="4"/>
  <c r="H49" i="4"/>
  <c r="F51" i="4"/>
  <c r="I52" i="4"/>
  <c r="I47" i="4"/>
  <c r="I49" i="4"/>
  <c r="E51" i="4"/>
  <c r="H52" i="4"/>
  <c r="F52" i="4"/>
  <c r="C48" i="4"/>
  <c r="D49" i="4"/>
  <c r="D53" i="4"/>
  <c r="E53" i="4"/>
  <c r="G47" i="4"/>
  <c r="E50" i="4"/>
  <c r="C52" i="4"/>
  <c r="E47" i="4"/>
  <c r="D50" i="4"/>
  <c r="D52" i="4"/>
  <c r="I53" i="4"/>
  <c r="D47" i="4"/>
  <c r="G48" i="4"/>
  <c r="G50" i="4"/>
  <c r="G52" i="4"/>
  <c r="H48" i="4"/>
  <c r="F50" i="4"/>
  <c r="I50" i="4"/>
  <c r="C49" i="4"/>
  <c r="C51" i="4"/>
  <c r="F49" i="4"/>
  <c r="G51" i="4"/>
  <c r="H51" i="4"/>
  <c r="G53" i="4"/>
  <c r="H53" i="4"/>
  <c r="E48" i="4"/>
  <c r="E49" i="4"/>
  <c r="L20" i="4"/>
  <c r="F34" i="6"/>
  <c r="J34" i="6"/>
  <c r="E34" i="6"/>
  <c r="C33" i="6"/>
  <c r="H33" i="6"/>
  <c r="F22" i="7"/>
  <c r="J52" i="4"/>
  <c r="R15" i="4"/>
  <c r="G22" i="7"/>
  <c r="E23" i="7"/>
  <c r="H23" i="7"/>
  <c r="J49" i="4"/>
  <c r="O15" i="4"/>
  <c r="J53" i="4"/>
  <c r="S15" i="4"/>
  <c r="J50" i="4"/>
  <c r="P15" i="4"/>
  <c r="J48" i="4"/>
  <c r="N15" i="4"/>
  <c r="J51" i="4"/>
  <c r="Q15" i="4"/>
  <c r="J47" i="4"/>
  <c r="M15" i="4"/>
  <c r="C56" i="4" a="1"/>
  <c r="F35" i="6"/>
  <c r="J35" i="6"/>
  <c r="E35" i="6"/>
  <c r="C34" i="6"/>
  <c r="H34" i="6"/>
  <c r="E36" i="6"/>
  <c r="F23" i="7"/>
  <c r="G23" i="7"/>
  <c r="E24" i="7"/>
  <c r="H24" i="7"/>
  <c r="F62" i="4"/>
  <c r="E61" i="4"/>
  <c r="D60" i="4"/>
  <c r="C59" i="4"/>
  <c r="I57" i="4"/>
  <c r="H56" i="4"/>
  <c r="G62" i="4"/>
  <c r="F61" i="4"/>
  <c r="E60" i="4"/>
  <c r="H59" i="4"/>
  <c r="G58" i="4"/>
  <c r="F57" i="4"/>
  <c r="E56" i="4"/>
  <c r="D62" i="4"/>
  <c r="H60" i="4"/>
  <c r="E59" i="4"/>
  <c r="G57" i="4"/>
  <c r="D56" i="4"/>
  <c r="H61" i="4"/>
  <c r="C60" i="4"/>
  <c r="D59" i="4"/>
  <c r="H57" i="4"/>
  <c r="C56" i="4"/>
  <c r="C61" i="4"/>
  <c r="H58" i="4"/>
  <c r="C57" i="4"/>
  <c r="C62" i="4"/>
  <c r="E62" i="4"/>
  <c r="H62" i="4"/>
  <c r="I62" i="4"/>
  <c r="J62" i="4"/>
  <c r="S16" i="4"/>
  <c r="E58" i="4"/>
  <c r="G56" i="4"/>
  <c r="F60" i="4"/>
  <c r="F58" i="4"/>
  <c r="F56" i="4"/>
  <c r="D61" i="4"/>
  <c r="C58" i="4"/>
  <c r="I61" i="4"/>
  <c r="G61" i="4"/>
  <c r="E57" i="4"/>
  <c r="G60" i="4"/>
  <c r="I56" i="4"/>
  <c r="I59" i="4"/>
  <c r="F59" i="4"/>
  <c r="G59" i="4"/>
  <c r="I58" i="4"/>
  <c r="D58" i="4"/>
  <c r="I60" i="4"/>
  <c r="D57" i="4"/>
  <c r="E37" i="6"/>
  <c r="F36" i="6"/>
  <c r="F24" i="7"/>
  <c r="G24" i="7"/>
  <c r="E25" i="7"/>
  <c r="H25" i="7"/>
  <c r="J58" i="4"/>
  <c r="O16" i="4"/>
  <c r="J56" i="4"/>
  <c r="M16" i="4"/>
  <c r="C65" i="4" a="1"/>
  <c r="J57" i="4"/>
  <c r="N16" i="4"/>
  <c r="J61" i="4"/>
  <c r="R16" i="4"/>
  <c r="J60" i="4"/>
  <c r="Q16" i="4"/>
  <c r="J59" i="4"/>
  <c r="P16" i="4"/>
  <c r="H35" i="6"/>
  <c r="C36" i="6"/>
  <c r="H36" i="6"/>
  <c r="E38" i="6"/>
  <c r="J36" i="6"/>
  <c r="F37" i="6"/>
  <c r="F25" i="7"/>
  <c r="G25" i="7"/>
  <c r="E26" i="7"/>
  <c r="H26" i="7"/>
  <c r="D65" i="4"/>
  <c r="E66" i="4"/>
  <c r="F67" i="4"/>
  <c r="G68" i="4"/>
  <c r="H69" i="4"/>
  <c r="I70" i="4"/>
  <c r="C65" i="4"/>
  <c r="D66" i="4"/>
  <c r="E67" i="4"/>
  <c r="F68" i="4"/>
  <c r="G69" i="4"/>
  <c r="H70" i="4"/>
  <c r="I71" i="4"/>
  <c r="C66" i="4"/>
  <c r="H67" i="4"/>
  <c r="D69" i="4"/>
  <c r="G70" i="4"/>
  <c r="E65" i="4"/>
  <c r="H66" i="4"/>
  <c r="D68" i="4"/>
  <c r="I69" i="4"/>
  <c r="E71" i="4"/>
  <c r="G66" i="4"/>
  <c r="C68" i="4"/>
  <c r="F69" i="4"/>
  <c r="D71" i="4"/>
  <c r="G65" i="4"/>
  <c r="C67" i="4"/>
  <c r="H68" i="4"/>
  <c r="D70" i="4"/>
  <c r="G71" i="4"/>
  <c r="I66" i="4"/>
  <c r="C70" i="4"/>
  <c r="I65" i="4"/>
  <c r="C69" i="4"/>
  <c r="D67" i="4"/>
  <c r="E70" i="4"/>
  <c r="F66" i="4"/>
  <c r="E69" i="4"/>
  <c r="F65" i="4"/>
  <c r="E68" i="4"/>
  <c r="F71" i="4"/>
  <c r="G67" i="4"/>
  <c r="F70" i="4"/>
  <c r="H65" i="4"/>
  <c r="I68" i="4"/>
  <c r="H71" i="4"/>
  <c r="I67" i="4"/>
  <c r="C71" i="4"/>
  <c r="C37" i="6"/>
  <c r="H37" i="6"/>
  <c r="E39" i="6"/>
  <c r="J37" i="6"/>
  <c r="F38" i="6"/>
  <c r="F26" i="7"/>
  <c r="G26" i="7"/>
  <c r="E27" i="7"/>
  <c r="H27" i="7"/>
  <c r="J69" i="4"/>
  <c r="Q17" i="4"/>
  <c r="J65" i="4"/>
  <c r="M17" i="4"/>
  <c r="C74" i="4" a="1"/>
  <c r="J66" i="4"/>
  <c r="N17" i="4"/>
  <c r="J71" i="4"/>
  <c r="S17" i="4"/>
  <c r="J70" i="4"/>
  <c r="R17" i="4"/>
  <c r="J67" i="4"/>
  <c r="O17" i="4"/>
  <c r="J68" i="4"/>
  <c r="P17" i="4"/>
  <c r="C38" i="6"/>
  <c r="H38" i="6"/>
  <c r="E40" i="6"/>
  <c r="J38" i="6"/>
  <c r="F39" i="6"/>
  <c r="F27" i="7"/>
  <c r="G27" i="7"/>
  <c r="E28" i="7"/>
  <c r="H28" i="7"/>
  <c r="H80" i="4"/>
  <c r="G79" i="4"/>
  <c r="F78" i="4"/>
  <c r="E77" i="4"/>
  <c r="D76" i="4"/>
  <c r="C75" i="4"/>
  <c r="I80" i="4"/>
  <c r="H79" i="4"/>
  <c r="G78" i="4"/>
  <c r="I76" i="4"/>
  <c r="H75" i="4"/>
  <c r="G74" i="4"/>
  <c r="I79" i="4"/>
  <c r="D78" i="4"/>
  <c r="H76" i="4"/>
  <c r="E75" i="4"/>
  <c r="G80" i="4"/>
  <c r="D79" i="4"/>
  <c r="G76" i="4"/>
  <c r="D75" i="4"/>
  <c r="E79" i="4"/>
  <c r="I77" i="4"/>
  <c r="F76" i="4"/>
  <c r="H74" i="4"/>
  <c r="E80" i="4"/>
  <c r="I78" i="4"/>
  <c r="H77" i="4"/>
  <c r="E76" i="4"/>
  <c r="I74" i="4"/>
  <c r="H78" i="4"/>
  <c r="G75" i="4"/>
  <c r="F79" i="4"/>
  <c r="D77" i="4"/>
  <c r="C74" i="4"/>
  <c r="F80" i="4"/>
  <c r="G77" i="4"/>
  <c r="F74" i="4"/>
  <c r="E78" i="4"/>
  <c r="C76" i="4"/>
  <c r="D80" i="4"/>
  <c r="C77" i="4"/>
  <c r="D74" i="4"/>
  <c r="C78" i="4"/>
  <c r="F75" i="4"/>
  <c r="C79" i="4"/>
  <c r="I75" i="4"/>
  <c r="C80" i="4"/>
  <c r="F77" i="4"/>
  <c r="E74" i="4"/>
  <c r="C39" i="6"/>
  <c r="H39" i="6"/>
  <c r="J39" i="6"/>
  <c r="F40" i="6"/>
  <c r="F28" i="7"/>
  <c r="J79" i="4"/>
  <c r="R18" i="4"/>
  <c r="J77" i="4"/>
  <c r="P18" i="4"/>
  <c r="G28" i="7"/>
  <c r="E29" i="7"/>
  <c r="H29" i="7"/>
  <c r="J80" i="4"/>
  <c r="S18" i="4"/>
  <c r="J78" i="4"/>
  <c r="Q18" i="4"/>
  <c r="J76" i="4"/>
  <c r="O18" i="4"/>
  <c r="J74" i="4"/>
  <c r="M18" i="4"/>
  <c r="C83" i="4" a="1"/>
  <c r="J75" i="4"/>
  <c r="N18" i="4"/>
  <c r="F41" i="6"/>
  <c r="J41" i="6"/>
  <c r="E41" i="6"/>
  <c r="J40" i="6"/>
  <c r="F29" i="7"/>
  <c r="G29" i="7"/>
  <c r="E30" i="7"/>
  <c r="H30" i="7"/>
  <c r="D83" i="4"/>
  <c r="E84" i="4"/>
  <c r="F85" i="4"/>
  <c r="G86" i="4"/>
  <c r="H87" i="4"/>
  <c r="I88" i="4"/>
  <c r="C83" i="4"/>
  <c r="E87" i="4"/>
  <c r="C84" i="4"/>
  <c r="H85" i="4"/>
  <c r="D87" i="4"/>
  <c r="G88" i="4"/>
  <c r="G83" i="4"/>
  <c r="I85" i="4"/>
  <c r="D88" i="4"/>
  <c r="E83" i="4"/>
  <c r="H86" i="4"/>
  <c r="C89" i="4"/>
  <c r="G84" i="4"/>
  <c r="C86" i="4"/>
  <c r="F87" i="4"/>
  <c r="D89" i="4"/>
  <c r="D84" i="4"/>
  <c r="F86" i="4"/>
  <c r="H88" i="4"/>
  <c r="I83" i="4"/>
  <c r="G89" i="4"/>
  <c r="D85" i="4"/>
  <c r="E88" i="4"/>
  <c r="E85" i="4"/>
  <c r="I89" i="4"/>
  <c r="D86" i="4"/>
  <c r="F83" i="4"/>
  <c r="E86" i="4"/>
  <c r="F89" i="4"/>
  <c r="C87" i="4"/>
  <c r="F84" i="4"/>
  <c r="I87" i="4"/>
  <c r="H83" i="4"/>
  <c r="I86" i="4"/>
  <c r="H89" i="4"/>
  <c r="G87" i="4"/>
  <c r="C85" i="4"/>
  <c r="G85" i="4"/>
  <c r="J85" i="4"/>
  <c r="O19" i="4"/>
  <c r="F88" i="4"/>
  <c r="I84" i="4"/>
  <c r="C88" i="4"/>
  <c r="H84" i="4"/>
  <c r="E89" i="4"/>
  <c r="F42" i="6"/>
  <c r="J42" i="6"/>
  <c r="E42" i="6"/>
  <c r="H40" i="6"/>
  <c r="C41" i="6"/>
  <c r="H41" i="6"/>
  <c r="E43" i="6"/>
  <c r="F30" i="7"/>
  <c r="G30" i="7"/>
  <c r="E31" i="7"/>
  <c r="H31" i="7"/>
  <c r="J83" i="4"/>
  <c r="M19" i="4"/>
  <c r="C92" i="4" a="1"/>
  <c r="J88" i="4"/>
  <c r="R19" i="4"/>
  <c r="J89" i="4"/>
  <c r="S19" i="4"/>
  <c r="J84" i="4"/>
  <c r="N19" i="4"/>
  <c r="J87" i="4"/>
  <c r="Q19" i="4"/>
  <c r="J86" i="4"/>
  <c r="P19" i="4"/>
  <c r="C42" i="6"/>
  <c r="H42" i="6"/>
  <c r="F43" i="6"/>
  <c r="F31" i="7"/>
  <c r="G31" i="7"/>
  <c r="E32" i="7"/>
  <c r="H32" i="7"/>
  <c r="E98" i="4"/>
  <c r="C95" i="4"/>
  <c r="E92" i="4"/>
  <c r="F93" i="4"/>
  <c r="G94" i="4"/>
  <c r="H95" i="4"/>
  <c r="I96" i="4"/>
  <c r="C98" i="4"/>
  <c r="F92" i="4"/>
  <c r="H94" i="4"/>
  <c r="C97" i="4"/>
  <c r="D92" i="4"/>
  <c r="F94" i="4"/>
  <c r="G95" i="4"/>
  <c r="I97" i="4"/>
  <c r="G92" i="4"/>
  <c r="H93" i="4"/>
  <c r="I94" i="4"/>
  <c r="C96" i="4"/>
  <c r="D97" i="4"/>
  <c r="C93" i="4"/>
  <c r="E95" i="4"/>
  <c r="G97" i="4"/>
  <c r="H92" i="4"/>
  <c r="D96" i="4"/>
  <c r="F98" i="4"/>
  <c r="I92" i="4"/>
  <c r="D95" i="4"/>
  <c r="F97" i="4"/>
  <c r="G93" i="4"/>
  <c r="D98" i="4"/>
  <c r="D93" i="4"/>
  <c r="F95" i="4"/>
  <c r="H97" i="4"/>
  <c r="D94" i="4"/>
  <c r="H98" i="4"/>
  <c r="C94" i="4"/>
  <c r="E96" i="4"/>
  <c r="G98" i="4"/>
  <c r="I95" i="4"/>
  <c r="E93" i="4"/>
  <c r="H96" i="4"/>
  <c r="C92" i="4"/>
  <c r="E94" i="4"/>
  <c r="G96" i="4"/>
  <c r="I98" i="4"/>
  <c r="F96" i="4"/>
  <c r="I93" i="4"/>
  <c r="E97" i="4"/>
  <c r="F44" i="6"/>
  <c r="J44" i="6"/>
  <c r="E44" i="6"/>
  <c r="C43" i="6"/>
  <c r="H43" i="6"/>
  <c r="J43" i="6"/>
  <c r="E45" i="6"/>
  <c r="F32" i="7"/>
  <c r="J94" i="4"/>
  <c r="O20" i="4"/>
  <c r="G32" i="7"/>
  <c r="E33" i="7"/>
  <c r="H33" i="7"/>
  <c r="J93" i="4"/>
  <c r="N20" i="4"/>
  <c r="J98" i="4"/>
  <c r="S20" i="4"/>
  <c r="J92" i="4"/>
  <c r="M20" i="4"/>
  <c r="J96" i="4"/>
  <c r="Q20" i="4"/>
  <c r="J97" i="4"/>
  <c r="R20" i="4"/>
  <c r="J95" i="4"/>
  <c r="P20" i="4"/>
  <c r="C44" i="6"/>
  <c r="H44" i="6"/>
  <c r="E46" i="6"/>
  <c r="G13" i="6"/>
  <c r="I13" i="6"/>
  <c r="F45" i="6"/>
  <c r="F33" i="7"/>
  <c r="G33" i="7"/>
  <c r="E34" i="7"/>
  <c r="H34" i="7"/>
  <c r="J45" i="6"/>
  <c r="F46" i="6"/>
  <c r="F34" i="7"/>
  <c r="G34" i="7"/>
  <c r="E35" i="7"/>
  <c r="H35" i="7"/>
  <c r="F47" i="6"/>
  <c r="J47" i="6"/>
  <c r="E47" i="6"/>
  <c r="C46" i="6"/>
  <c r="H46" i="6"/>
  <c r="H45" i="6"/>
  <c r="J6" i="6"/>
  <c r="F13" i="6"/>
  <c r="E48" i="6"/>
  <c r="J46" i="6"/>
  <c r="F35" i="7"/>
  <c r="G35" i="7"/>
  <c r="E36" i="7"/>
  <c r="H36" i="7"/>
  <c r="N6" i="6"/>
  <c r="K6" i="6"/>
  <c r="C47" i="6"/>
  <c r="H47" i="6"/>
  <c r="F48" i="6"/>
  <c r="F36" i="7"/>
  <c r="G36" i="7"/>
  <c r="E37" i="7"/>
  <c r="H37" i="7"/>
  <c r="F49" i="6"/>
  <c r="J49" i="6"/>
  <c r="E49" i="6"/>
  <c r="C48" i="6"/>
  <c r="H48" i="6"/>
  <c r="J48" i="6"/>
  <c r="E50" i="6"/>
  <c r="F37" i="7"/>
  <c r="G37" i="7"/>
  <c r="E38" i="7"/>
  <c r="H38" i="7"/>
  <c r="C49" i="6"/>
  <c r="H49" i="6"/>
  <c r="E51" i="6"/>
  <c r="F50" i="6"/>
  <c r="F38" i="7"/>
  <c r="G38" i="7"/>
  <c r="E39" i="7"/>
  <c r="H39" i="7"/>
  <c r="J50" i="6"/>
  <c r="F51" i="6"/>
  <c r="F39" i="7"/>
  <c r="G39" i="7"/>
  <c r="E40" i="7"/>
  <c r="H40" i="7"/>
  <c r="F52" i="6"/>
  <c r="J52" i="6"/>
  <c r="E52" i="6"/>
  <c r="H50" i="6"/>
  <c r="C51" i="6"/>
  <c r="H51" i="6"/>
  <c r="J51" i="6"/>
  <c r="F40" i="7"/>
  <c r="G40" i="7"/>
  <c r="E41" i="7"/>
  <c r="H41" i="7"/>
  <c r="F53" i="6"/>
  <c r="J53" i="6"/>
  <c r="E53" i="6"/>
  <c r="C52" i="6"/>
  <c r="H52" i="6"/>
  <c r="F41" i="7"/>
  <c r="G41" i="7"/>
  <c r="E42" i="7"/>
  <c r="H42" i="7"/>
  <c r="F54" i="6"/>
  <c r="J54" i="6"/>
  <c r="E54" i="6"/>
  <c r="C53" i="6"/>
  <c r="H53" i="6"/>
  <c r="F42" i="7"/>
  <c r="G42" i="7"/>
  <c r="E43" i="7"/>
  <c r="H43" i="7"/>
  <c r="F55" i="6"/>
  <c r="J55" i="6"/>
  <c r="E55" i="6"/>
  <c r="C54" i="6"/>
  <c r="H54" i="6"/>
  <c r="F43" i="7"/>
  <c r="G43" i="7"/>
  <c r="E44" i="7"/>
  <c r="H44" i="7"/>
  <c r="F56" i="6"/>
  <c r="J56" i="6"/>
  <c r="E56" i="6"/>
  <c r="F44" i="7"/>
  <c r="G44" i="7"/>
  <c r="E45" i="7"/>
  <c r="H45" i="7"/>
  <c r="F57" i="6"/>
  <c r="J57" i="6"/>
  <c r="E57" i="6"/>
  <c r="H55" i="6"/>
  <c r="C56" i="6"/>
  <c r="H56" i="6"/>
  <c r="E58" i="6"/>
  <c r="F45" i="7"/>
  <c r="G45" i="7"/>
  <c r="E46" i="7"/>
  <c r="H46" i="7"/>
  <c r="C57" i="6"/>
  <c r="H57" i="6"/>
  <c r="E59" i="6"/>
  <c r="F58" i="6"/>
  <c r="F46" i="7"/>
  <c r="G46" i="7"/>
  <c r="E47" i="7"/>
  <c r="H47" i="7"/>
  <c r="C58" i="6"/>
  <c r="H58" i="6"/>
  <c r="E60" i="6"/>
  <c r="J58" i="6"/>
  <c r="F59" i="6"/>
  <c r="F47" i="7"/>
  <c r="G47" i="7"/>
  <c r="E48" i="7"/>
  <c r="H48" i="7"/>
  <c r="C59" i="6"/>
  <c r="H59" i="6"/>
  <c r="E61" i="6"/>
  <c r="J59" i="6"/>
  <c r="F60" i="6"/>
  <c r="F48" i="7"/>
  <c r="G48" i="7"/>
  <c r="E49" i="7"/>
  <c r="H49" i="7"/>
  <c r="J60" i="6"/>
  <c r="F61" i="6"/>
  <c r="F49" i="7"/>
  <c r="G49" i="7"/>
  <c r="E50" i="7"/>
  <c r="H50" i="7"/>
  <c r="F62" i="6"/>
  <c r="J62" i="6"/>
  <c r="E62" i="6"/>
  <c r="C61" i="6"/>
  <c r="H61" i="6"/>
  <c r="H60" i="6"/>
  <c r="J61" i="6"/>
  <c r="E63" i="6"/>
  <c r="F50" i="7"/>
  <c r="G50" i="7"/>
  <c r="E51" i="7"/>
  <c r="H51" i="7"/>
  <c r="C62" i="6"/>
  <c r="H62" i="6"/>
  <c r="E64" i="6"/>
  <c r="F63" i="6"/>
  <c r="F51" i="7"/>
  <c r="G51" i="7"/>
  <c r="E52" i="7"/>
  <c r="H52" i="7"/>
  <c r="C63" i="6"/>
  <c r="H63" i="6"/>
  <c r="E65" i="6"/>
  <c r="F64" i="6"/>
  <c r="J63" i="6"/>
  <c r="F52" i="7"/>
  <c r="G52" i="7"/>
  <c r="E53" i="7"/>
  <c r="H53" i="7"/>
  <c r="C64" i="6"/>
  <c r="H64" i="6"/>
  <c r="D66" i="6"/>
  <c r="E66" i="6"/>
  <c r="G14" i="6"/>
  <c r="I14" i="6"/>
  <c r="F65" i="6"/>
  <c r="J64" i="6"/>
  <c r="F53" i="7"/>
  <c r="G53" i="7"/>
  <c r="E54" i="7"/>
  <c r="H54" i="7"/>
  <c r="B66" i="6"/>
  <c r="D67" i="6"/>
  <c r="J65" i="6"/>
  <c r="F66" i="6"/>
  <c r="F54" i="7"/>
  <c r="G54" i="7"/>
  <c r="E55" i="7"/>
  <c r="H55" i="7"/>
  <c r="F67" i="6"/>
  <c r="J67" i="6"/>
  <c r="E67" i="6"/>
  <c r="C66" i="6"/>
  <c r="H66" i="6"/>
  <c r="B67" i="6"/>
  <c r="H65" i="6"/>
  <c r="J7" i="6"/>
  <c r="F14" i="6"/>
  <c r="J66" i="6"/>
  <c r="D68" i="6"/>
  <c r="E68" i="6"/>
  <c r="F55" i="7"/>
  <c r="G55" i="7"/>
  <c r="E56" i="7"/>
  <c r="H56" i="7"/>
  <c r="N7" i="6"/>
  <c r="K7" i="6"/>
  <c r="B68" i="6"/>
  <c r="C67" i="6"/>
  <c r="H67" i="6"/>
  <c r="D69" i="6"/>
  <c r="F68" i="6"/>
  <c r="F56" i="7"/>
  <c r="G56" i="7"/>
  <c r="E57" i="7"/>
  <c r="H57" i="7"/>
  <c r="F69" i="6"/>
  <c r="J69" i="6"/>
  <c r="E69" i="6"/>
  <c r="B69" i="6"/>
  <c r="C68" i="6"/>
  <c r="H68" i="6"/>
  <c r="J68" i="6"/>
  <c r="D70" i="6"/>
  <c r="F57" i="7"/>
  <c r="G57" i="7"/>
  <c r="E58" i="7"/>
  <c r="H58" i="7"/>
  <c r="F70" i="6"/>
  <c r="J70" i="6"/>
  <c r="E70" i="6"/>
  <c r="C69" i="6"/>
  <c r="H69" i="6"/>
  <c r="B70" i="6"/>
  <c r="D71" i="6"/>
  <c r="F58" i="7"/>
  <c r="G58" i="7"/>
  <c r="E59" i="7"/>
  <c r="H59" i="7"/>
  <c r="F71" i="6"/>
  <c r="J71" i="6"/>
  <c r="E71" i="6"/>
  <c r="B71" i="6"/>
  <c r="C70" i="6"/>
  <c r="D72" i="6"/>
  <c r="E72" i="6"/>
  <c r="F59" i="7"/>
  <c r="G59" i="7"/>
  <c r="E60" i="7"/>
  <c r="H60" i="7"/>
  <c r="H70" i="6"/>
  <c r="G70" i="6"/>
  <c r="C71" i="6"/>
  <c r="H71" i="6"/>
  <c r="B72" i="6"/>
  <c r="D73" i="6"/>
  <c r="E73" i="6"/>
  <c r="F72" i="6"/>
  <c r="F60" i="7"/>
  <c r="G60" i="7"/>
  <c r="E61" i="7"/>
  <c r="H61" i="7"/>
  <c r="B73" i="6"/>
  <c r="C72" i="6"/>
  <c r="H72" i="6"/>
  <c r="D74" i="6"/>
  <c r="E74" i="6"/>
  <c r="J72" i="6"/>
  <c r="F73" i="6"/>
  <c r="F61" i="7"/>
  <c r="G61" i="7"/>
  <c r="E62" i="7"/>
  <c r="H62" i="7"/>
  <c r="B74" i="6"/>
  <c r="C73" i="6"/>
  <c r="H73" i="6"/>
  <c r="D75" i="6"/>
  <c r="J73" i="6"/>
  <c r="F74" i="6"/>
  <c r="F62" i="7"/>
  <c r="G62" i="7"/>
  <c r="E63" i="7"/>
  <c r="H63" i="7"/>
  <c r="F75" i="6"/>
  <c r="J75" i="6"/>
  <c r="E75" i="6"/>
  <c r="C74" i="6"/>
  <c r="H74" i="6"/>
  <c r="B75" i="6"/>
  <c r="J74" i="6"/>
  <c r="D76" i="6"/>
  <c r="F63" i="7"/>
  <c r="G63" i="7"/>
  <c r="E64" i="7"/>
  <c r="H64" i="7"/>
  <c r="F76" i="6"/>
  <c r="J76" i="6"/>
  <c r="E76" i="6"/>
  <c r="C75" i="6"/>
  <c r="B76" i="6"/>
  <c r="D77" i="6"/>
  <c r="F64" i="7"/>
  <c r="G64" i="7"/>
  <c r="E65" i="7"/>
  <c r="H65" i="7"/>
  <c r="F77" i="6"/>
  <c r="J77" i="6"/>
  <c r="E77" i="6"/>
  <c r="C76" i="6"/>
  <c r="H76" i="6"/>
  <c r="B77" i="6"/>
  <c r="H75" i="6"/>
  <c r="G75" i="6"/>
  <c r="D78" i="6"/>
  <c r="F65" i="7"/>
  <c r="G65" i="7"/>
  <c r="E66" i="7"/>
  <c r="H66" i="7"/>
  <c r="F78" i="6"/>
  <c r="J78" i="6"/>
  <c r="E78" i="6"/>
  <c r="C77" i="6"/>
  <c r="H77" i="6"/>
  <c r="B78" i="6"/>
  <c r="D79" i="6"/>
  <c r="F66" i="7"/>
  <c r="G66" i="7"/>
  <c r="E67" i="7"/>
  <c r="H67" i="7"/>
  <c r="F79" i="6"/>
  <c r="J79" i="6"/>
  <c r="E79" i="6"/>
  <c r="C78" i="6"/>
  <c r="H78" i="6"/>
  <c r="B79" i="6"/>
  <c r="D80" i="6"/>
  <c r="E80" i="6"/>
  <c r="F67" i="7"/>
  <c r="G67" i="7"/>
  <c r="E68" i="7"/>
  <c r="H68" i="7"/>
  <c r="C79" i="6"/>
  <c r="H79" i="6"/>
  <c r="B80" i="6"/>
  <c r="D81" i="6"/>
  <c r="E81" i="6"/>
  <c r="F80" i="6"/>
  <c r="F68" i="7"/>
  <c r="G68" i="7"/>
  <c r="E69" i="7"/>
  <c r="H69" i="7"/>
  <c r="B81" i="6"/>
  <c r="C80" i="6"/>
  <c r="G80" i="6"/>
  <c r="D82" i="6"/>
  <c r="E82" i="6"/>
  <c r="F81" i="6"/>
  <c r="J80" i="6"/>
  <c r="F69" i="7"/>
  <c r="G69" i="7"/>
  <c r="E70" i="7"/>
  <c r="H70" i="7"/>
  <c r="H80" i="6"/>
  <c r="C81" i="6"/>
  <c r="H81" i="6"/>
  <c r="B82" i="6"/>
  <c r="J81" i="6"/>
  <c r="D83" i="6"/>
  <c r="E83" i="6"/>
  <c r="F82" i="6"/>
  <c r="F70" i="7"/>
  <c r="G70" i="7"/>
  <c r="E71" i="7"/>
  <c r="H71" i="7"/>
  <c r="B83" i="6"/>
  <c r="C82" i="6"/>
  <c r="H82" i="6"/>
  <c r="D84" i="6"/>
  <c r="E84" i="6"/>
  <c r="F83" i="6"/>
  <c r="J82" i="6"/>
  <c r="F71" i="7"/>
  <c r="G71" i="7"/>
  <c r="E72" i="7"/>
  <c r="H72" i="7"/>
  <c r="B84" i="6"/>
  <c r="C83" i="6"/>
  <c r="H83" i="6"/>
  <c r="J83" i="6"/>
  <c r="D85" i="6"/>
  <c r="F84" i="6"/>
  <c r="F72" i="7"/>
  <c r="G72" i="7"/>
  <c r="E73" i="7"/>
  <c r="H73" i="7"/>
  <c r="F85" i="6"/>
  <c r="J85" i="6"/>
  <c r="E85" i="6"/>
  <c r="B85" i="6"/>
  <c r="C84" i="6"/>
  <c r="H84" i="6"/>
  <c r="J84" i="6"/>
  <c r="G15" i="6"/>
  <c r="I15" i="6"/>
  <c r="D86" i="6"/>
  <c r="F73" i="7"/>
  <c r="G73" i="7"/>
  <c r="E74" i="7"/>
  <c r="H74" i="7"/>
  <c r="F86" i="6"/>
  <c r="J86" i="6"/>
  <c r="E86" i="6"/>
  <c r="B86" i="6"/>
  <c r="C85" i="6"/>
  <c r="D87" i="6"/>
  <c r="F74" i="7"/>
  <c r="G74" i="7"/>
  <c r="E75" i="7"/>
  <c r="H75" i="7"/>
  <c r="F87" i="6"/>
  <c r="J87" i="6"/>
  <c r="E87" i="6"/>
  <c r="H85" i="6"/>
  <c r="J8" i="6"/>
  <c r="G85" i="6"/>
  <c r="I8" i="6"/>
  <c r="B87" i="6"/>
  <c r="C86" i="6"/>
  <c r="H86" i="6"/>
  <c r="D88" i="6"/>
  <c r="F75" i="7"/>
  <c r="G75" i="7"/>
  <c r="E76" i="7"/>
  <c r="H76" i="7"/>
  <c r="F88" i="6"/>
  <c r="J88" i="6"/>
  <c r="E88" i="6"/>
  <c r="F15" i="6"/>
  <c r="K8" i="6"/>
  <c r="N8" i="6"/>
  <c r="C87" i="6"/>
  <c r="H87" i="6"/>
  <c r="B88" i="6"/>
  <c r="D89" i="6"/>
  <c r="F76" i="7"/>
  <c r="G76" i="7"/>
  <c r="E77" i="7"/>
  <c r="H77" i="7"/>
  <c r="F89" i="6"/>
  <c r="J89" i="6"/>
  <c r="E89" i="6"/>
  <c r="B89" i="6"/>
  <c r="C88" i="6"/>
  <c r="H88" i="6"/>
  <c r="D90" i="6"/>
  <c r="F77" i="7"/>
  <c r="G77" i="7"/>
  <c r="E78" i="7"/>
  <c r="H78" i="7"/>
  <c r="F90" i="6"/>
  <c r="J90" i="6"/>
  <c r="E90" i="6"/>
  <c r="C89" i="6"/>
  <c r="H89" i="6"/>
  <c r="B90" i="6"/>
  <c r="D91" i="6"/>
  <c r="E91" i="6"/>
  <c r="F78" i="7"/>
  <c r="G78" i="7"/>
  <c r="E79" i="7"/>
  <c r="H79" i="7"/>
  <c r="B91" i="6"/>
  <c r="C90" i="6"/>
  <c r="D92" i="6"/>
  <c r="E92" i="6"/>
  <c r="F91" i="6"/>
  <c r="F79" i="7"/>
  <c r="G79" i="7"/>
  <c r="E80" i="7"/>
  <c r="H80" i="7"/>
  <c r="B92" i="6"/>
  <c r="C91" i="6"/>
  <c r="H91" i="6"/>
  <c r="G90" i="6"/>
  <c r="H90" i="6"/>
  <c r="D93" i="6"/>
  <c r="F92" i="6"/>
  <c r="J91" i="6"/>
  <c r="F80" i="7"/>
  <c r="G80" i="7"/>
  <c r="E81" i="7"/>
  <c r="H81" i="7"/>
  <c r="F93" i="6"/>
  <c r="J93" i="6"/>
  <c r="E93" i="6"/>
  <c r="C92" i="6"/>
  <c r="H92" i="6"/>
  <c r="B93" i="6"/>
  <c r="D94" i="6"/>
  <c r="E94" i="6"/>
  <c r="J92" i="6"/>
  <c r="F81" i="7"/>
  <c r="G81" i="7"/>
  <c r="E82" i="7"/>
  <c r="H82" i="7"/>
  <c r="C93" i="6"/>
  <c r="H93" i="6"/>
  <c r="B94" i="6"/>
  <c r="D95" i="6"/>
  <c r="E95" i="6"/>
  <c r="F94" i="6"/>
  <c r="F82" i="7"/>
  <c r="G82" i="7"/>
  <c r="E83" i="7"/>
  <c r="H83" i="7"/>
  <c r="B95" i="6"/>
  <c r="C94" i="6"/>
  <c r="H94" i="6"/>
  <c r="D96" i="6"/>
  <c r="E96" i="6"/>
  <c r="J94" i="6"/>
  <c r="F95" i="6"/>
  <c r="F83" i="7"/>
  <c r="G83" i="7"/>
  <c r="E84" i="7"/>
  <c r="H84" i="7"/>
  <c r="B96" i="6"/>
  <c r="C95" i="6"/>
  <c r="G95" i="6"/>
  <c r="D97" i="6"/>
  <c r="J95" i="6"/>
  <c r="F96" i="6"/>
  <c r="F84" i="7"/>
  <c r="G84" i="7"/>
  <c r="E85" i="7"/>
  <c r="H85" i="7"/>
  <c r="F97" i="6"/>
  <c r="J97" i="6"/>
  <c r="E97" i="6"/>
  <c r="C96" i="6"/>
  <c r="H96" i="6"/>
  <c r="B97" i="6"/>
  <c r="H95" i="6"/>
  <c r="J96" i="6"/>
  <c r="D98" i="6"/>
  <c r="F85" i="7"/>
  <c r="G85" i="7"/>
  <c r="E86" i="7"/>
  <c r="H86" i="7"/>
  <c r="F98" i="6"/>
  <c r="J98" i="6"/>
  <c r="E98" i="6"/>
  <c r="C97" i="6"/>
  <c r="H97" i="6"/>
  <c r="B98" i="6"/>
  <c r="D99" i="6"/>
  <c r="E99" i="6"/>
  <c r="F86" i="7"/>
  <c r="G86" i="7"/>
  <c r="E87" i="7"/>
  <c r="H87" i="7"/>
  <c r="B99" i="6"/>
  <c r="C98" i="6"/>
  <c r="H98" i="6"/>
  <c r="D100" i="6"/>
  <c r="E100" i="6"/>
  <c r="F99" i="6"/>
  <c r="F87" i="7"/>
  <c r="G87" i="7"/>
  <c r="E88" i="7"/>
  <c r="H88" i="7"/>
  <c r="C99" i="6"/>
  <c r="H99" i="6"/>
  <c r="B100" i="6"/>
  <c r="J99" i="6"/>
  <c r="D101" i="6"/>
  <c r="F100" i="6"/>
  <c r="F88" i="7"/>
  <c r="G88" i="7"/>
  <c r="E89" i="7"/>
  <c r="H89" i="7"/>
  <c r="F101" i="6"/>
  <c r="J101" i="6"/>
  <c r="E101" i="6"/>
  <c r="B101" i="6"/>
  <c r="C100" i="6"/>
  <c r="G100" i="6"/>
  <c r="D102" i="6"/>
  <c r="J100" i="6"/>
  <c r="F89" i="7"/>
  <c r="G89" i="7"/>
  <c r="E90" i="7"/>
  <c r="H90" i="7"/>
  <c r="F102" i="6"/>
  <c r="J102" i="6"/>
  <c r="E102" i="6"/>
  <c r="H100" i="6"/>
  <c r="B102" i="6"/>
  <c r="C101" i="6"/>
  <c r="H101" i="6"/>
  <c r="D103" i="6"/>
  <c r="F90" i="7"/>
  <c r="G90" i="7"/>
  <c r="E91" i="7"/>
  <c r="H91" i="7"/>
  <c r="F103" i="6"/>
  <c r="J103" i="6"/>
  <c r="E103" i="6"/>
  <c r="B103" i="6"/>
  <c r="C102" i="6"/>
  <c r="H102" i="6"/>
  <c r="D104" i="6"/>
  <c r="F91" i="7"/>
  <c r="G91" i="7"/>
  <c r="E92" i="7"/>
  <c r="H92" i="7"/>
  <c r="F104" i="6"/>
  <c r="J104" i="6"/>
  <c r="E104" i="6"/>
  <c r="C103" i="6"/>
  <c r="H103" i="6"/>
  <c r="B104" i="6"/>
  <c r="D105" i="6"/>
  <c r="E105" i="6"/>
  <c r="F92" i="7"/>
  <c r="G92" i="7"/>
  <c r="E93" i="7"/>
  <c r="H93" i="7"/>
  <c r="C104" i="6"/>
  <c r="H104" i="6"/>
  <c r="B105" i="6"/>
  <c r="D106" i="6"/>
  <c r="E106" i="6"/>
  <c r="G16" i="6"/>
  <c r="I16" i="6"/>
  <c r="F105" i="6"/>
  <c r="F93" i="7"/>
  <c r="G93" i="7"/>
  <c r="E94" i="7"/>
  <c r="H94" i="7"/>
  <c r="C105" i="6"/>
  <c r="G105" i="6"/>
  <c r="I9" i="6"/>
  <c r="B106" i="6"/>
  <c r="J105" i="6"/>
  <c r="D107" i="6"/>
  <c r="E107" i="6"/>
  <c r="F106" i="6"/>
  <c r="F94" i="7"/>
  <c r="G94" i="7"/>
  <c r="E95" i="7"/>
  <c r="H95" i="7"/>
  <c r="B107" i="6"/>
  <c r="C106" i="6"/>
  <c r="H106" i="6"/>
  <c r="H105" i="6"/>
  <c r="J9" i="6"/>
  <c r="N9" i="6"/>
  <c r="D108" i="6"/>
  <c r="E108" i="6"/>
  <c r="J106" i="6"/>
  <c r="F107" i="6"/>
  <c r="F95" i="7"/>
  <c r="G95" i="7"/>
  <c r="E96" i="7"/>
  <c r="H96" i="7"/>
  <c r="F16" i="6"/>
  <c r="K9" i="6"/>
  <c r="B108" i="6"/>
  <c r="C107" i="6"/>
  <c r="H107" i="6"/>
  <c r="D109" i="6"/>
  <c r="E109" i="6"/>
  <c r="J107" i="6"/>
  <c r="F108" i="6"/>
  <c r="F96" i="7"/>
  <c r="G96" i="7"/>
  <c r="E97" i="7"/>
  <c r="H97" i="7"/>
  <c r="C108" i="6"/>
  <c r="H108" i="6"/>
  <c r="B109" i="6"/>
  <c r="D110" i="6"/>
  <c r="J108" i="6"/>
  <c r="F109" i="6"/>
  <c r="F97" i="7"/>
  <c r="G97" i="7"/>
  <c r="E98" i="7"/>
  <c r="H98" i="7"/>
  <c r="F110" i="6"/>
  <c r="J110" i="6"/>
  <c r="E110" i="6"/>
  <c r="B110" i="6"/>
  <c r="C109" i="6"/>
  <c r="H109" i="6"/>
  <c r="J109" i="6"/>
  <c r="D111" i="6"/>
  <c r="E111" i="6"/>
  <c r="F98" i="7"/>
  <c r="G98" i="7"/>
  <c r="E99" i="7"/>
  <c r="H99" i="7"/>
  <c r="C110" i="6"/>
  <c r="B111" i="6"/>
  <c r="D112" i="6"/>
  <c r="F111" i="6"/>
  <c r="F99" i="7"/>
  <c r="G99" i="7"/>
  <c r="E100" i="7"/>
  <c r="H100" i="7"/>
  <c r="F112" i="6"/>
  <c r="J112" i="6"/>
  <c r="E112" i="6"/>
  <c r="B112" i="6"/>
  <c r="C111" i="6"/>
  <c r="H111" i="6"/>
  <c r="G110" i="6"/>
  <c r="H110" i="6"/>
  <c r="D113" i="6"/>
  <c r="E113" i="6"/>
  <c r="J111" i="6"/>
  <c r="F100" i="7"/>
  <c r="G100" i="7"/>
  <c r="E101" i="7"/>
  <c r="H101" i="7"/>
  <c r="C112" i="6"/>
  <c r="H112" i="6"/>
  <c r="B113" i="6"/>
  <c r="D114" i="6"/>
  <c r="E114" i="6"/>
  <c r="F113" i="6"/>
  <c r="F101" i="7"/>
  <c r="G101" i="7"/>
  <c r="E102" i="7"/>
  <c r="H102" i="7"/>
  <c r="C113" i="6"/>
  <c r="H113" i="6"/>
  <c r="B114" i="6"/>
  <c r="D115" i="6"/>
  <c r="F114" i="6"/>
  <c r="J113" i="6"/>
  <c r="F102" i="7"/>
  <c r="G102" i="7"/>
  <c r="E103" i="7"/>
  <c r="H103" i="7"/>
  <c r="F115" i="6"/>
  <c r="J115" i="6"/>
  <c r="E115" i="6"/>
  <c r="B115" i="6"/>
  <c r="C114" i="6"/>
  <c r="H114" i="6"/>
  <c r="D116" i="6"/>
  <c r="J114" i="6"/>
  <c r="F103" i="7"/>
  <c r="G103" i="7"/>
  <c r="E104" i="7"/>
  <c r="H104" i="7"/>
  <c r="F116" i="6"/>
  <c r="J116" i="6"/>
  <c r="E116" i="6"/>
  <c r="B116" i="6"/>
  <c r="C115" i="6"/>
  <c r="D117" i="6"/>
  <c r="F104" i="7"/>
  <c r="G104" i="7"/>
  <c r="E105" i="7"/>
  <c r="H105" i="7"/>
  <c r="F117" i="6"/>
  <c r="J117" i="6"/>
  <c r="E117" i="6"/>
  <c r="H115" i="6"/>
  <c r="G115" i="6"/>
  <c r="C116" i="6"/>
  <c r="H116" i="6"/>
  <c r="B117" i="6"/>
  <c r="D118" i="6"/>
  <c r="E118" i="6"/>
  <c r="F105" i="7"/>
  <c r="G105" i="7"/>
  <c r="E106" i="7"/>
  <c r="H106" i="7"/>
  <c r="B118" i="6"/>
  <c r="C117" i="6"/>
  <c r="H117" i="6"/>
  <c r="D119" i="6"/>
  <c r="F118" i="6"/>
  <c r="F106" i="7"/>
  <c r="G106" i="7"/>
  <c r="E107" i="7"/>
  <c r="H107" i="7"/>
  <c r="F119" i="6"/>
  <c r="J119" i="6"/>
  <c r="E119" i="6"/>
  <c r="B119" i="6"/>
  <c r="C118" i="6"/>
  <c r="H118" i="6"/>
  <c r="J118" i="6"/>
  <c r="D120" i="6"/>
  <c r="F107" i="7"/>
  <c r="G107" i="7"/>
  <c r="E108" i="7"/>
  <c r="H108" i="7"/>
  <c r="F120" i="6"/>
  <c r="J120" i="6"/>
  <c r="E120" i="6"/>
  <c r="B120" i="6"/>
  <c r="C119" i="6"/>
  <c r="H119" i="6"/>
  <c r="D121" i="6"/>
  <c r="F108" i="7"/>
  <c r="G108" i="7"/>
  <c r="E109" i="7"/>
  <c r="H109" i="7"/>
  <c r="F121" i="6"/>
  <c r="J121" i="6"/>
  <c r="E121" i="6"/>
  <c r="B121" i="6"/>
  <c r="C120" i="6"/>
  <c r="D122" i="6"/>
  <c r="E122" i="6"/>
  <c r="F109" i="7"/>
  <c r="G109" i="7"/>
  <c r="E110" i="7"/>
  <c r="H110" i="7"/>
  <c r="G120" i="6"/>
  <c r="H120" i="6"/>
  <c r="B122" i="6"/>
  <c r="C121" i="6"/>
  <c r="H121" i="6"/>
  <c r="D123" i="6"/>
  <c r="E123" i="6"/>
  <c r="F122" i="6"/>
  <c r="F110" i="7"/>
  <c r="G110" i="7"/>
  <c r="E111" i="7"/>
  <c r="H111" i="7"/>
  <c r="B123" i="6"/>
  <c r="C122" i="6"/>
  <c r="H122" i="6"/>
  <c r="D124" i="6"/>
  <c r="F123" i="6"/>
  <c r="J122" i="6"/>
  <c r="F111" i="7"/>
  <c r="G111" i="7"/>
  <c r="E112" i="7"/>
  <c r="H112" i="7"/>
  <c r="F124" i="6"/>
  <c r="J124" i="6"/>
  <c r="E124" i="6"/>
  <c r="C123" i="6"/>
  <c r="H123" i="6"/>
  <c r="B124" i="6"/>
  <c r="D125" i="6"/>
  <c r="J123" i="6"/>
  <c r="F112" i="7"/>
  <c r="G112" i="7"/>
  <c r="E113" i="7"/>
  <c r="H113" i="7"/>
  <c r="F125" i="6"/>
  <c r="J125" i="6"/>
  <c r="E125" i="6"/>
  <c r="B125" i="6"/>
  <c r="C125" i="6"/>
  <c r="C124" i="6"/>
  <c r="H124" i="6"/>
  <c r="G17" i="6"/>
  <c r="I17" i="6"/>
  <c r="F113" i="7"/>
  <c r="G113" i="7"/>
  <c r="E114" i="7"/>
  <c r="H114" i="7"/>
  <c r="H125" i="6"/>
  <c r="J10" i="6"/>
  <c r="G125" i="6"/>
  <c r="I10" i="6"/>
  <c r="F114" i="7"/>
  <c r="G114" i="7"/>
  <c r="E115" i="7"/>
  <c r="H115" i="7"/>
  <c r="K10" i="6"/>
  <c r="N10" i="6"/>
  <c r="F17" i="6"/>
  <c r="F115" i="7"/>
  <c r="G115" i="7"/>
  <c r="E116" i="7"/>
  <c r="H116" i="7"/>
  <c r="F116" i="7"/>
  <c r="G116" i="7"/>
  <c r="E117" i="7"/>
  <c r="H117" i="7"/>
  <c r="F117" i="7"/>
  <c r="G117" i="7"/>
  <c r="E118" i="7"/>
  <c r="H118" i="7"/>
  <c r="F118" i="7"/>
  <c r="G118" i="7"/>
  <c r="E119" i="7"/>
  <c r="H119" i="7"/>
  <c r="F119" i="7"/>
  <c r="G119" i="7"/>
  <c r="E120" i="7"/>
  <c r="H120" i="7"/>
  <c r="F120" i="7"/>
  <c r="G120" i="7"/>
  <c r="E121" i="7"/>
  <c r="H121" i="7"/>
  <c r="F121" i="7"/>
  <c r="G121" i="7"/>
  <c r="E122" i="7"/>
  <c r="H122" i="7"/>
  <c r="F122" i="7"/>
  <c r="G122" i="7"/>
  <c r="E123" i="7"/>
  <c r="H123" i="7"/>
  <c r="F123" i="7"/>
  <c r="G123" i="7"/>
  <c r="E124" i="7"/>
  <c r="H124" i="7"/>
  <c r="F124" i="7"/>
  <c r="G124" i="7"/>
  <c r="E125" i="7"/>
  <c r="H125" i="7"/>
  <c r="F125" i="7"/>
  <c r="G125" i="7"/>
  <c r="E126" i="7"/>
  <c r="H126" i="7"/>
  <c r="F126" i="7"/>
  <c r="G126" i="7"/>
  <c r="E127" i="7"/>
  <c r="H127" i="7"/>
  <c r="F127" i="7"/>
  <c r="G127" i="7"/>
  <c r="E128" i="7"/>
  <c r="H128" i="7"/>
  <c r="F128" i="7"/>
  <c r="G128" i="7"/>
  <c r="E129" i="7"/>
  <c r="H129" i="7"/>
  <c r="F129" i="7"/>
  <c r="G129" i="7"/>
  <c r="E130" i="7"/>
  <c r="H130" i="7"/>
  <c r="F130" i="7"/>
  <c r="G130" i="7"/>
  <c r="E131" i="7"/>
  <c r="H131" i="7"/>
  <c r="F131" i="7"/>
  <c r="G131" i="7"/>
  <c r="E132" i="7"/>
  <c r="H132" i="7"/>
  <c r="F132" i="7"/>
  <c r="G132" i="7"/>
  <c r="E133" i="7"/>
  <c r="H133" i="7"/>
  <c r="F133" i="7"/>
  <c r="G133" i="7"/>
  <c r="E134" i="7"/>
  <c r="H134" i="7"/>
  <c r="F134" i="7"/>
  <c r="G134" i="7"/>
  <c r="E135" i="7"/>
  <c r="H135" i="7"/>
  <c r="F135" i="7"/>
  <c r="G135" i="7"/>
  <c r="E136" i="7"/>
  <c r="H136" i="7"/>
  <c r="F136" i="7"/>
  <c r="G136" i="7"/>
  <c r="E137" i="7"/>
  <c r="H137" i="7"/>
  <c r="F137" i="7"/>
  <c r="G137" i="7"/>
  <c r="E138" i="7"/>
  <c r="H138" i="7"/>
  <c r="F138" i="7"/>
  <c r="G138" i="7"/>
  <c r="E139" i="7"/>
  <c r="H139" i="7"/>
  <c r="F139" i="7"/>
  <c r="G139" i="7"/>
  <c r="E140" i="7"/>
  <c r="H140" i="7"/>
  <c r="F140" i="7"/>
  <c r="G140" i="7"/>
  <c r="E141" i="7"/>
  <c r="H141" i="7"/>
  <c r="F141" i="7"/>
  <c r="G141" i="7"/>
  <c r="E142" i="7"/>
  <c r="H142" i="7"/>
  <c r="F142" i="7"/>
  <c r="G142" i="7"/>
  <c r="E143" i="7"/>
  <c r="H143" i="7"/>
  <c r="F143" i="7"/>
  <c r="G143" i="7"/>
  <c r="E144" i="7"/>
  <c r="H144" i="7"/>
  <c r="F144" i="7"/>
  <c r="G144" i="7"/>
  <c r="E145" i="7"/>
  <c r="H145" i="7"/>
  <c r="F145" i="7"/>
  <c r="G145" i="7"/>
  <c r="E146" i="7"/>
  <c r="H146" i="7"/>
  <c r="F146" i="7"/>
  <c r="G146" i="7"/>
  <c r="E147" i="7"/>
  <c r="H147" i="7"/>
  <c r="F147" i="7"/>
  <c r="G147" i="7"/>
  <c r="E148" i="7"/>
  <c r="H148" i="7"/>
  <c r="F148" i="7"/>
  <c r="G148" i="7"/>
  <c r="E149" i="7"/>
  <c r="H149" i="7"/>
  <c r="F149" i="7"/>
  <c r="G149" i="7"/>
  <c r="E150" i="7"/>
  <c r="H150" i="7"/>
  <c r="F150" i="7"/>
  <c r="G150" i="7"/>
  <c r="E151" i="7"/>
  <c r="H151" i="7"/>
  <c r="F151" i="7"/>
  <c r="G151" i="7"/>
  <c r="E152" i="7"/>
  <c r="H152" i="7"/>
  <c r="F152" i="7"/>
  <c r="G152" i="7"/>
  <c r="E153" i="7"/>
  <c r="H153" i="7"/>
  <c r="F153" i="7"/>
  <c r="G153" i="7"/>
  <c r="E154" i="7"/>
  <c r="H154" i="7"/>
  <c r="F154" i="7"/>
  <c r="G154" i="7"/>
  <c r="E155" i="7"/>
  <c r="H155" i="7"/>
  <c r="F155" i="7"/>
  <c r="G155" i="7"/>
  <c r="E156" i="7"/>
  <c r="H156" i="7"/>
  <c r="F156" i="7"/>
  <c r="G156" i="7"/>
  <c r="E157" i="7"/>
  <c r="H157" i="7"/>
  <c r="F157" i="7"/>
  <c r="G157" i="7"/>
  <c r="E158" i="7"/>
  <c r="H158" i="7"/>
  <c r="F158" i="7"/>
  <c r="G158" i="7"/>
  <c r="E159" i="7"/>
  <c r="H159" i="7"/>
  <c r="F159" i="7"/>
  <c r="G159" i="7"/>
  <c r="E160" i="7"/>
  <c r="H160" i="7"/>
  <c r="F160" i="7"/>
  <c r="G160" i="7"/>
  <c r="E161" i="7"/>
  <c r="H161" i="7"/>
  <c r="F161" i="7"/>
  <c r="G161" i="7"/>
  <c r="E162" i="7"/>
  <c r="H162" i="7"/>
  <c r="F162" i="7"/>
  <c r="G162" i="7"/>
  <c r="E163" i="7"/>
  <c r="H163" i="7"/>
  <c r="F163" i="7"/>
  <c r="G163" i="7"/>
  <c r="E164" i="7"/>
  <c r="H164" i="7"/>
  <c r="F164" i="7"/>
  <c r="G164" i="7"/>
  <c r="E165" i="7"/>
  <c r="H165" i="7"/>
  <c r="F165" i="7"/>
  <c r="G165" i="7"/>
  <c r="E166" i="7"/>
  <c r="H166" i="7"/>
  <c r="F166" i="7"/>
  <c r="G166" i="7"/>
  <c r="E167" i="7"/>
  <c r="H167" i="7"/>
  <c r="F167" i="7"/>
  <c r="G167" i="7"/>
  <c r="E168" i="7"/>
  <c r="H168" i="7"/>
  <c r="F168" i="7"/>
  <c r="G168" i="7"/>
  <c r="E169" i="7"/>
  <c r="H169" i="7"/>
  <c r="F169" i="7"/>
  <c r="G169" i="7"/>
  <c r="E170" i="7"/>
  <c r="H170" i="7"/>
  <c r="F170" i="7"/>
  <c r="G170" i="7"/>
  <c r="E171" i="7"/>
  <c r="H171" i="7"/>
  <c r="F171" i="7"/>
  <c r="G171" i="7"/>
  <c r="E172" i="7"/>
  <c r="H172" i="7"/>
  <c r="F172" i="7"/>
  <c r="G172" i="7"/>
  <c r="E173" i="7"/>
  <c r="H173" i="7"/>
  <c r="F173" i="7"/>
  <c r="G173" i="7"/>
  <c r="E174" i="7"/>
  <c r="H174" i="7"/>
  <c r="F174" i="7"/>
  <c r="G174" i="7"/>
  <c r="E175" i="7"/>
  <c r="H175" i="7"/>
  <c r="F175" i="7"/>
  <c r="G175" i="7"/>
  <c r="E176" i="7"/>
  <c r="H176" i="7"/>
  <c r="F176" i="7"/>
  <c r="G176" i="7"/>
  <c r="E177" i="7"/>
  <c r="H177" i="7"/>
  <c r="F177" i="7"/>
  <c r="G177" i="7"/>
  <c r="E178" i="7"/>
  <c r="H178" i="7"/>
  <c r="F178" i="7"/>
  <c r="G178" i="7"/>
  <c r="E179" i="7"/>
  <c r="H179" i="7"/>
  <c r="F179" i="7"/>
  <c r="G179" i="7"/>
  <c r="E180" i="7"/>
  <c r="H180" i="7"/>
  <c r="F180" i="7"/>
  <c r="G180" i="7"/>
  <c r="E181" i="7"/>
  <c r="H181" i="7"/>
  <c r="F181" i="7"/>
  <c r="G181" i="7"/>
  <c r="E182" i="7"/>
  <c r="H182" i="7"/>
  <c r="F182" i="7"/>
  <c r="G182" i="7"/>
  <c r="E183" i="7"/>
  <c r="H183" i="7"/>
  <c r="F183" i="7"/>
  <c r="G183" i="7"/>
  <c r="E184" i="7"/>
  <c r="H184" i="7"/>
  <c r="F184" i="7"/>
  <c r="G184" i="7"/>
  <c r="E185" i="7"/>
  <c r="H185" i="7"/>
  <c r="F185" i="7"/>
  <c r="G185" i="7"/>
  <c r="E186" i="7"/>
  <c r="H186" i="7"/>
  <c r="F186" i="7"/>
  <c r="G186" i="7"/>
  <c r="E187" i="7"/>
  <c r="H187" i="7"/>
  <c r="F187" i="7"/>
  <c r="G187" i="7"/>
  <c r="E188" i="7"/>
  <c r="H188" i="7"/>
  <c r="F188" i="7"/>
  <c r="G188" i="7"/>
  <c r="E189" i="7"/>
  <c r="H189" i="7"/>
  <c r="F189" i="7"/>
  <c r="G189" i="7"/>
  <c r="E190" i="7"/>
  <c r="H190" i="7"/>
  <c r="F190" i="7"/>
  <c r="G190" i="7"/>
  <c r="E191" i="7"/>
  <c r="H191" i="7"/>
  <c r="F191" i="7"/>
  <c r="G191" i="7"/>
  <c r="E192" i="7"/>
  <c r="H192" i="7"/>
  <c r="F192" i="7"/>
  <c r="G192" i="7"/>
  <c r="E193" i="7"/>
  <c r="H193" i="7"/>
  <c r="F193" i="7"/>
  <c r="G193" i="7"/>
  <c r="E194" i="7"/>
  <c r="H194" i="7"/>
  <c r="F194" i="7"/>
  <c r="G194" i="7"/>
  <c r="E195" i="7"/>
  <c r="H195" i="7"/>
  <c r="F195" i="7"/>
  <c r="G195" i="7"/>
  <c r="E196" i="7"/>
  <c r="H196" i="7"/>
  <c r="F196" i="7"/>
  <c r="G196" i="7"/>
  <c r="E197" i="7"/>
  <c r="H197" i="7"/>
  <c r="F197" i="7"/>
  <c r="G197" i="7"/>
  <c r="E198" i="7"/>
  <c r="H198" i="7"/>
  <c r="F198" i="7"/>
  <c r="G198" i="7"/>
  <c r="E199" i="7"/>
  <c r="H199" i="7"/>
  <c r="F199" i="7"/>
  <c r="G199" i="7"/>
  <c r="E200" i="7"/>
  <c r="H200" i="7"/>
  <c r="F200" i="7"/>
  <c r="G200" i="7"/>
  <c r="E201" i="7"/>
  <c r="H201" i="7"/>
  <c r="F201" i="7"/>
  <c r="G201" i="7"/>
  <c r="E202" i="7"/>
  <c r="H202" i="7"/>
  <c r="F202" i="7"/>
  <c r="G202" i="7"/>
  <c r="E203" i="7"/>
  <c r="H203" i="7"/>
  <c r="F203" i="7"/>
  <c r="G203" i="7"/>
  <c r="E204" i="7"/>
  <c r="H204" i="7"/>
  <c r="F204" i="7"/>
  <c r="G204" i="7"/>
  <c r="E205" i="7"/>
  <c r="H205" i="7"/>
  <c r="F205" i="7"/>
  <c r="G205" i="7"/>
  <c r="E206" i="7"/>
  <c r="H206" i="7"/>
  <c r="F206" i="7"/>
  <c r="G206" i="7"/>
  <c r="E207" i="7"/>
  <c r="H207" i="7"/>
  <c r="F207" i="7"/>
  <c r="G207" i="7"/>
  <c r="E208" i="7"/>
  <c r="H208" i="7"/>
  <c r="F208" i="7"/>
  <c r="G208" i="7"/>
  <c r="E209" i="7"/>
  <c r="H209" i="7"/>
  <c r="F209" i="7"/>
  <c r="G209" i="7"/>
  <c r="E210" i="7"/>
  <c r="H210" i="7"/>
  <c r="F210" i="7"/>
  <c r="G210" i="7"/>
  <c r="E211" i="7"/>
  <c r="H211" i="7"/>
  <c r="F211" i="7"/>
  <c r="G211" i="7"/>
  <c r="E212" i="7"/>
  <c r="H212" i="7"/>
  <c r="F212" i="7"/>
  <c r="G212" i="7"/>
  <c r="E213" i="7"/>
  <c r="H213" i="7"/>
  <c r="F213" i="7"/>
  <c r="G213" i="7"/>
</calcChain>
</file>

<file path=xl/sharedStrings.xml><?xml version="1.0" encoding="utf-8"?>
<sst xmlns="http://schemas.openxmlformats.org/spreadsheetml/2006/main" count="196" uniqueCount="48">
  <si>
    <t>AAA</t>
  </si>
  <si>
    <t>AA</t>
  </si>
  <si>
    <t>A</t>
  </si>
  <si>
    <t>BBB</t>
  </si>
  <si>
    <t>BB</t>
  </si>
  <si>
    <t>B</t>
  </si>
  <si>
    <t>CCC</t>
  </si>
  <si>
    <t>Def</t>
  </si>
  <si>
    <t>Market Premium</t>
  </si>
  <si>
    <t>Price CDS</t>
  </si>
  <si>
    <t>Inputs</t>
  </si>
  <si>
    <t>Running</t>
  </si>
  <si>
    <t>Up-front</t>
  </si>
  <si>
    <t>Hazard Rate</t>
  </si>
  <si>
    <t>Risky Annuity</t>
  </si>
  <si>
    <t>Default Leg</t>
  </si>
  <si>
    <t>MTM</t>
  </si>
  <si>
    <t>Premium</t>
  </si>
  <si>
    <t>Interest Rate</t>
  </si>
  <si>
    <t>1Y CDS</t>
  </si>
  <si>
    <t>Recovery</t>
  </si>
  <si>
    <t>2Y CDS</t>
  </si>
  <si>
    <t>3Y CDS</t>
  </si>
  <si>
    <t>4Y CDS</t>
  </si>
  <si>
    <t>5Y CDS</t>
  </si>
  <si>
    <t>Fair Prem</t>
  </si>
  <si>
    <t>Def prob</t>
  </si>
  <si>
    <t>1Y def prob</t>
  </si>
  <si>
    <t>1Y</t>
  </si>
  <si>
    <t>2Y</t>
  </si>
  <si>
    <t>3Y</t>
  </si>
  <si>
    <t>4Y</t>
  </si>
  <si>
    <t>5Y</t>
  </si>
  <si>
    <t>Disc Factor</t>
  </si>
  <si>
    <t>Premiums</t>
  </si>
  <si>
    <t>Defaults</t>
  </si>
  <si>
    <t>Accr</t>
  </si>
  <si>
    <t>Def prob (approx)</t>
  </si>
  <si>
    <t>Cumulative Default Probability</t>
  </si>
  <si>
    <t>Marginal Def Probability</t>
  </si>
  <si>
    <t>Cumulative Survival Probability</t>
  </si>
  <si>
    <t>Credit Curve</t>
  </si>
  <si>
    <t>7Y</t>
  </si>
  <si>
    <t>10Y</t>
  </si>
  <si>
    <t>Credit spread</t>
  </si>
  <si>
    <t>Default probability</t>
  </si>
  <si>
    <t>Flat curve</t>
  </si>
  <si>
    <t>Actual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</si>
</sst>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64" formatCode="_-* #,##0.00_-;\-* #,##0.00_-;_-* &quot;-&quot;??_-;_-@_-"/>
    <numFmt numFmtId="165" formatCode="_-* #,##0\ _F_-;\-* #,##0\ _F_-;_-* &quot;-&quot;\ _F_-;_-@_-"/>
    <numFmt numFmtId="166" formatCode="_-* #,##0.00\ _F_-;\-* #,##0.00\ _F_-;_-* &quot;-&quot;??\ _F_-;_-@_-"/>
    <numFmt numFmtId="167" formatCode="_-* #,##0\ &quot;F&quot;_-;\-* #,##0\ &quot;F&quot;_-;_-* &quot;-&quot;\ &quot;F&quot;_-;_-@_-"/>
    <numFmt numFmtId="168" formatCode="_-* #,##0.00\ &quot;F&quot;_-;\-* #,##0.00\ &quot;F&quot;_-;_-* &quot;-&quot;??\ &quot;F&quot;_-;_-@_-"/>
    <numFmt numFmtId="169" formatCode="0.000000%"/>
    <numFmt numFmtId="170" formatCode="#,##0.0;\-#,##0.0"/>
    <numFmt numFmtId="171" formatCode="0.00000"/>
    <numFmt numFmtId="172" formatCode="0.0000"/>
    <numFmt numFmtId="173" formatCode="0.000%"/>
    <numFmt numFmtId="174" formatCode="0.000"/>
    <numFmt numFmtId="175" formatCode="0.000000"/>
    <numFmt numFmtId="176" formatCode="_-* #,##0_-;\-* #,##0_-;_-* &quot;-&quot;??_-;_-@_-"/>
    <numFmt numFmtId="177" formatCode="0.0"/>
  </numFmts>
  <fonts count="34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S Sans Serif"/>
      <family val="2"/>
    </font>
    <font>
      <sz val="8.5"/>
      <name val="MS Sans Serif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i/>
      <sz val="10"/>
      <name val="Arial"/>
      <family val="2"/>
    </font>
    <font>
      <b/>
      <sz val="24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Arial"/>
      <family val="2"/>
    </font>
    <font>
      <b/>
      <i/>
      <sz val="10"/>
      <name val="Arial"/>
      <family val="2"/>
    </font>
    <font>
      <sz val="10"/>
      <color indexed="10"/>
      <name val="Arial"/>
      <family val="2"/>
    </font>
    <font>
      <b/>
      <i/>
      <sz val="11"/>
      <color indexed="8"/>
      <name val="Calibri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1"/>
      <color rgb="FF00B050"/>
      <name val="Calibri"/>
      <family val="2"/>
    </font>
    <font>
      <b/>
      <sz val="11"/>
      <color rgb="FF00B050"/>
      <name val="Calibri"/>
      <family val="2"/>
    </font>
    <font>
      <b/>
      <sz val="11"/>
      <color rgb="FFFF0000"/>
      <name val="Calibri"/>
      <family val="2"/>
    </font>
    <font>
      <b/>
      <sz val="10"/>
      <color rgb="FFFF000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9"/>
        <bgColor indexed="43"/>
      </patternFill>
    </fill>
    <fill>
      <patternFill patternType="mediumGray">
        <fgColor indexed="9"/>
        <b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</fills>
  <borders count="5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60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164" fontId="1" fillId="0" borderId="0" applyFont="0" applyFill="0" applyBorder="0" applyAlignment="0" applyProtection="0"/>
    <xf numFmtId="0" fontId="7" fillId="22" borderId="3" applyNumberFormat="0" applyFont="0" applyBorder="0" applyAlignment="0" applyProtection="0">
      <alignment horizontal="centerContinuous"/>
    </xf>
    <xf numFmtId="0" fontId="8" fillId="23" borderId="4" applyNumberFormat="0" applyBorder="0">
      <alignment horizontal="left"/>
    </xf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1" fillId="24" borderId="5" applyNumberFormat="0" applyFont="0" applyBorder="0" applyAlignment="0">
      <alignment horizontal="centerContinuous"/>
    </xf>
    <xf numFmtId="0" fontId="12" fillId="0" borderId="6" applyNumberFormat="0" applyFill="0" applyAlignment="0" applyProtection="0"/>
    <xf numFmtId="0" fontId="13" fillId="0" borderId="7" applyNumberFormat="0" applyFill="0" applyAlignment="0" applyProtection="0"/>
    <xf numFmtId="0" fontId="14" fillId="0" borderId="8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9" applyNumberFormat="0" applyFill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9" fontId="1" fillId="0" borderId="0">
      <alignment horizontal="right"/>
    </xf>
    <xf numFmtId="0" fontId="17" fillId="25" borderId="0" applyNumberFormat="0" applyBorder="0" applyAlignment="0" applyProtection="0"/>
    <xf numFmtId="0" fontId="2" fillId="0" borderId="0"/>
    <xf numFmtId="0" fontId="1" fillId="0" borderId="0"/>
    <xf numFmtId="0" fontId="1" fillId="0" borderId="0"/>
    <xf numFmtId="0" fontId="2" fillId="26" borderId="10" applyNumberFormat="0" applyFont="0" applyAlignment="0" applyProtection="0"/>
    <xf numFmtId="0" fontId="18" fillId="20" borderId="11" applyNumberFormat="0" applyAlignment="0" applyProtection="0"/>
    <xf numFmtId="9" fontId="1" fillId="0" borderId="0" applyFont="0" applyFill="0" applyBorder="0" applyAlignment="0" applyProtection="0"/>
    <xf numFmtId="0" fontId="19" fillId="27" borderId="12">
      <alignment horizontal="center"/>
    </xf>
    <xf numFmtId="0" fontId="1" fillId="0" borderId="0">
      <alignment horizontal="left" wrapText="1"/>
    </xf>
    <xf numFmtId="0" fontId="20" fillId="0" borderId="0">
      <alignment horizontal="center"/>
    </xf>
    <xf numFmtId="0" fontId="21" fillId="0" borderId="0" applyNumberFormat="0" applyFill="0" applyBorder="0" applyAlignment="0" applyProtection="0"/>
    <xf numFmtId="0" fontId="22" fillId="0" borderId="13" applyNumberFormat="0" applyFill="0" applyAlignment="0" applyProtection="0"/>
    <xf numFmtId="0" fontId="23" fillId="0" borderId="0" applyNumberFormat="0" applyFill="0" applyBorder="0" applyAlignment="0" applyProtection="0"/>
    <xf numFmtId="0" fontId="24" fillId="28" borderId="0">
      <alignment horizontal="right"/>
    </xf>
    <xf numFmtId="170" fontId="1" fillId="0" borderId="0">
      <alignment horizontal="center"/>
    </xf>
  </cellStyleXfs>
  <cellXfs count="160">
    <xf numFmtId="0" fontId="0" fillId="0" borderId="0" xfId="0"/>
    <xf numFmtId="0" fontId="1" fillId="27" borderId="0" xfId="47" applyFill="1"/>
    <xf numFmtId="0" fontId="0" fillId="0" borderId="0" xfId="0" applyBorder="1"/>
    <xf numFmtId="2" fontId="0" fillId="0" borderId="0" xfId="0" applyNumberFormat="1" applyBorder="1"/>
    <xf numFmtId="173" fontId="26" fillId="0" borderId="0" xfId="51" applyNumberFormat="1" applyFont="1" applyBorder="1"/>
    <xf numFmtId="173" fontId="1" fillId="0" borderId="0" xfId="51" applyNumberFormat="1" applyBorder="1" applyProtection="1">
      <protection locked="0"/>
    </xf>
    <xf numFmtId="10" fontId="1" fillId="0" borderId="16" xfId="51" applyNumberFormat="1" applyFont="1" applyBorder="1" applyAlignment="1" applyProtection="1">
      <alignment vertical="top" wrapText="1"/>
    </xf>
    <xf numFmtId="10" fontId="1" fillId="0" borderId="18" xfId="51" applyNumberFormat="1" applyFont="1" applyBorder="1" applyAlignment="1" applyProtection="1">
      <alignment vertical="top" wrapText="1"/>
    </xf>
    <xf numFmtId="0" fontId="0" fillId="0" borderId="0" xfId="0" applyProtection="1"/>
    <xf numFmtId="0" fontId="1" fillId="0" borderId="0" xfId="0" applyFont="1" applyProtection="1"/>
    <xf numFmtId="0" fontId="0" fillId="0" borderId="0" xfId="0" applyBorder="1" applyProtection="1"/>
    <xf numFmtId="0" fontId="1" fillId="0" borderId="0" xfId="0" applyFont="1" applyBorder="1" applyProtection="1"/>
    <xf numFmtId="0" fontId="1" fillId="0" borderId="0" xfId="0" applyFont="1" applyFill="1" applyBorder="1" applyProtection="1"/>
    <xf numFmtId="0" fontId="1" fillId="0" borderId="19" xfId="48" applyFont="1" applyBorder="1" applyAlignment="1" applyProtection="1">
      <alignment vertical="top" wrapText="1"/>
    </xf>
    <xf numFmtId="0" fontId="1" fillId="0" borderId="20" xfId="48" applyFont="1" applyBorder="1" applyAlignment="1" applyProtection="1">
      <alignment vertical="top" wrapText="1"/>
    </xf>
    <xf numFmtId="0" fontId="1" fillId="0" borderId="21" xfId="48" applyFont="1" applyBorder="1" applyAlignment="1" applyProtection="1">
      <alignment vertical="top" wrapText="1"/>
    </xf>
    <xf numFmtId="2" fontId="1" fillId="0" borderId="0" xfId="0" applyNumberFormat="1" applyFont="1" applyBorder="1" applyProtection="1"/>
    <xf numFmtId="0" fontId="1" fillId="0" borderId="22" xfId="48" applyFont="1" applyBorder="1" applyProtection="1"/>
    <xf numFmtId="0" fontId="1" fillId="0" borderId="23" xfId="48" applyFont="1" applyBorder="1" applyProtection="1"/>
    <xf numFmtId="0" fontId="1" fillId="0" borderId="14" xfId="48" applyFont="1" applyBorder="1" applyProtection="1"/>
    <xf numFmtId="173" fontId="26" fillId="0" borderId="0" xfId="51" applyNumberFormat="1" applyFont="1" applyBorder="1" applyProtection="1"/>
    <xf numFmtId="0" fontId="1" fillId="0" borderId="24" xfId="48" applyFont="1" applyBorder="1" applyAlignment="1" applyProtection="1">
      <alignment vertical="top" wrapText="1"/>
    </xf>
    <xf numFmtId="0" fontId="1" fillId="0" borderId="25" xfId="48" applyFont="1" applyBorder="1" applyProtection="1"/>
    <xf numFmtId="10" fontId="1" fillId="0" borderId="0" xfId="51" applyNumberFormat="1" applyFont="1" applyBorder="1" applyProtection="1"/>
    <xf numFmtId="10" fontId="1" fillId="0" borderId="25" xfId="51" applyNumberFormat="1" applyFont="1" applyBorder="1" applyProtection="1"/>
    <xf numFmtId="10" fontId="1" fillId="0" borderId="26" xfId="51" applyNumberFormat="1" applyFont="1" applyBorder="1" applyProtection="1"/>
    <xf numFmtId="10" fontId="1" fillId="0" borderId="0" xfId="48" applyNumberFormat="1" applyFont="1" applyBorder="1" applyProtection="1"/>
    <xf numFmtId="0" fontId="1" fillId="0" borderId="27" xfId="48" applyFont="1" applyBorder="1" applyAlignment="1" applyProtection="1">
      <alignment vertical="top" wrapText="1"/>
    </xf>
    <xf numFmtId="0" fontId="25" fillId="0" borderId="0" xfId="0" applyFont="1" applyBorder="1" applyAlignment="1" applyProtection="1">
      <alignment horizontal="center"/>
    </xf>
    <xf numFmtId="10" fontId="1" fillId="0" borderId="15" xfId="51" applyNumberFormat="1" applyFont="1" applyBorder="1" applyAlignment="1" applyProtection="1">
      <alignment vertical="top" wrapText="1"/>
    </xf>
    <xf numFmtId="0" fontId="1" fillId="0" borderId="28" xfId="48" applyFont="1" applyBorder="1" applyProtection="1"/>
    <xf numFmtId="10" fontId="1" fillId="0" borderId="29" xfId="48" applyNumberFormat="1" applyFont="1" applyBorder="1" applyProtection="1"/>
    <xf numFmtId="10" fontId="1" fillId="0" borderId="28" xfId="51" applyNumberFormat="1" applyFont="1" applyBorder="1" applyProtection="1"/>
    <xf numFmtId="10" fontId="1" fillId="0" borderId="29" xfId="51" applyNumberFormat="1" applyFont="1" applyBorder="1" applyProtection="1"/>
    <xf numFmtId="10" fontId="1" fillId="0" borderId="30" xfId="51" applyNumberFormat="1" applyFont="1" applyBorder="1" applyProtection="1"/>
    <xf numFmtId="1" fontId="1" fillId="0" borderId="0" xfId="51" applyNumberFormat="1" applyFont="1" applyBorder="1" applyProtection="1"/>
    <xf numFmtId="173" fontId="1" fillId="0" borderId="0" xfId="51" applyNumberFormat="1" applyFont="1" applyBorder="1" applyProtection="1"/>
    <xf numFmtId="10" fontId="1" fillId="0" borderId="17" xfId="51" applyNumberFormat="1" applyFont="1" applyBorder="1" applyAlignment="1" applyProtection="1">
      <alignment vertical="top" wrapText="1"/>
    </xf>
    <xf numFmtId="2" fontId="0" fillId="0" borderId="0" xfId="0" applyNumberFormat="1" applyBorder="1" applyProtection="1"/>
    <xf numFmtId="10" fontId="0" fillId="0" borderId="0" xfId="51" applyNumberFormat="1" applyFont="1" applyBorder="1" applyProtection="1"/>
    <xf numFmtId="173" fontId="0" fillId="0" borderId="0" xfId="51" applyNumberFormat="1" applyFont="1" applyBorder="1" applyProtection="1"/>
    <xf numFmtId="173" fontId="1" fillId="0" borderId="0" xfId="51" applyNumberFormat="1" applyBorder="1" applyProtection="1"/>
    <xf numFmtId="10" fontId="1" fillId="0" borderId="0" xfId="51" applyNumberFormat="1" applyBorder="1" applyProtection="1"/>
    <xf numFmtId="0" fontId="1" fillId="0" borderId="0" xfId="48" applyFont="1" applyBorder="1" applyAlignment="1" applyProtection="1">
      <alignment vertical="top" wrapText="1"/>
    </xf>
    <xf numFmtId="0" fontId="1" fillId="0" borderId="0" xfId="48" applyFont="1" applyBorder="1" applyProtection="1"/>
    <xf numFmtId="10" fontId="1" fillId="0" borderId="0" xfId="51" applyNumberFormat="1" applyFont="1" applyBorder="1" applyAlignment="1" applyProtection="1">
      <alignment vertical="top" wrapText="1"/>
    </xf>
    <xf numFmtId="0" fontId="2" fillId="0" borderId="0" xfId="46" applyProtection="1"/>
    <xf numFmtId="0" fontId="2" fillId="0" borderId="31" xfId="46" applyBorder="1" applyProtection="1"/>
    <xf numFmtId="0" fontId="2" fillId="0" borderId="32" xfId="46" applyFont="1" applyBorder="1" applyProtection="1"/>
    <xf numFmtId="0" fontId="2" fillId="0" borderId="33" xfId="46" applyFont="1" applyBorder="1" applyProtection="1"/>
    <xf numFmtId="0" fontId="2" fillId="0" borderId="34" xfId="46" applyBorder="1" applyAlignment="1" applyProtection="1">
      <alignment horizontal="right"/>
    </xf>
    <xf numFmtId="0" fontId="2" fillId="0" borderId="23" xfId="46" applyFont="1" applyBorder="1" applyProtection="1"/>
    <xf numFmtId="0" fontId="2" fillId="0" borderId="22" xfId="46" applyBorder="1" applyAlignment="1" applyProtection="1">
      <alignment horizontal="right"/>
    </xf>
    <xf numFmtId="0" fontId="2" fillId="0" borderId="14" xfId="46" applyFont="1" applyBorder="1" applyAlignment="1" applyProtection="1">
      <alignment horizontal="right"/>
    </xf>
    <xf numFmtId="0" fontId="2" fillId="0" borderId="31" xfId="46" applyFont="1" applyBorder="1" applyProtection="1"/>
    <xf numFmtId="0" fontId="2" fillId="0" borderId="35" xfId="46" applyBorder="1" applyProtection="1"/>
    <xf numFmtId="0" fontId="2" fillId="0" borderId="37" xfId="46" applyBorder="1" applyProtection="1"/>
    <xf numFmtId="0" fontId="23" fillId="0" borderId="37" xfId="46" applyFont="1" applyBorder="1" applyProtection="1">
      <protection locked="0"/>
    </xf>
    <xf numFmtId="10" fontId="2" fillId="0" borderId="39" xfId="51" applyNumberFormat="1" applyFont="1" applyBorder="1" applyProtection="1"/>
    <xf numFmtId="0" fontId="2" fillId="0" borderId="41" xfId="46" applyFont="1" applyBorder="1" applyProtection="1"/>
    <xf numFmtId="0" fontId="2" fillId="0" borderId="41" xfId="46" applyBorder="1" applyProtection="1"/>
    <xf numFmtId="0" fontId="23" fillId="0" borderId="41" xfId="46" applyFont="1" applyBorder="1" applyProtection="1">
      <protection locked="0"/>
    </xf>
    <xf numFmtId="10" fontId="2" fillId="0" borderId="42" xfId="51" applyNumberFormat="1" applyFont="1" applyBorder="1" applyProtection="1"/>
    <xf numFmtId="10" fontId="2" fillId="0" borderId="0" xfId="46" applyNumberFormat="1" applyProtection="1"/>
    <xf numFmtId="11" fontId="2" fillId="0" borderId="0" xfId="46" applyNumberFormat="1" applyFill="1" applyBorder="1" applyProtection="1"/>
    <xf numFmtId="0" fontId="2" fillId="0" borderId="44" xfId="46" applyFont="1" applyBorder="1" applyProtection="1"/>
    <xf numFmtId="0" fontId="2" fillId="0" borderId="45" xfId="46" applyFont="1" applyBorder="1" applyProtection="1"/>
    <xf numFmtId="0" fontId="2" fillId="0" borderId="0" xfId="46" applyFill="1" applyBorder="1" applyProtection="1"/>
    <xf numFmtId="0" fontId="2" fillId="0" borderId="35" xfId="46" applyFont="1" applyBorder="1" applyProtection="1"/>
    <xf numFmtId="0" fontId="2" fillId="0" borderId="37" xfId="46" applyFont="1" applyBorder="1" applyProtection="1"/>
    <xf numFmtId="0" fontId="2" fillId="0" borderId="22" xfId="46" applyFont="1" applyBorder="1" applyProtection="1"/>
    <xf numFmtId="0" fontId="2" fillId="0" borderId="23" xfId="46" applyBorder="1" applyProtection="1"/>
    <xf numFmtId="0" fontId="2" fillId="0" borderId="22" xfId="46" applyBorder="1" applyProtection="1"/>
    <xf numFmtId="0" fontId="2" fillId="0" borderId="14" xfId="46" applyBorder="1" applyProtection="1"/>
    <xf numFmtId="2" fontId="2" fillId="0" borderId="37" xfId="46" applyNumberFormat="1" applyBorder="1" applyProtection="1"/>
    <xf numFmtId="174" fontId="2" fillId="0" borderId="25" xfId="46" applyNumberFormat="1" applyBorder="1" applyProtection="1"/>
    <xf numFmtId="174" fontId="2" fillId="0" borderId="0" xfId="46" applyNumberFormat="1" applyBorder="1" applyProtection="1"/>
    <xf numFmtId="171" fontId="2" fillId="0" borderId="25" xfId="46" applyNumberFormat="1" applyBorder="1" applyProtection="1"/>
    <xf numFmtId="175" fontId="2" fillId="0" borderId="25" xfId="46" applyNumberFormat="1" applyBorder="1" applyProtection="1"/>
    <xf numFmtId="175" fontId="2" fillId="0" borderId="26" xfId="46" applyNumberFormat="1" applyBorder="1" applyProtection="1"/>
    <xf numFmtId="10" fontId="0" fillId="0" borderId="0" xfId="51" applyNumberFormat="1" applyFont="1" applyBorder="1" applyAlignment="1" applyProtection="1">
      <alignment vertical="top" wrapText="1"/>
    </xf>
    <xf numFmtId="10" fontId="26" fillId="0" borderId="0" xfId="51" applyNumberFormat="1" applyFont="1" applyBorder="1" applyAlignment="1" applyProtection="1">
      <alignment vertical="top" wrapText="1"/>
      <protection locked="0"/>
    </xf>
    <xf numFmtId="2" fontId="1" fillId="0" borderId="0" xfId="48" applyNumberFormat="1" applyFont="1" applyBorder="1" applyAlignment="1" applyProtection="1">
      <alignment vertical="top" wrapText="1"/>
    </xf>
    <xf numFmtId="2" fontId="1" fillId="0" borderId="37" xfId="48" applyNumberFormat="1" applyFont="1" applyBorder="1" applyAlignment="1" applyProtection="1">
      <alignment vertical="top" wrapText="1"/>
    </xf>
    <xf numFmtId="2" fontId="1" fillId="0" borderId="41" xfId="48" applyNumberFormat="1" applyFont="1" applyBorder="1" applyAlignment="1" applyProtection="1">
      <alignment vertical="top" wrapText="1"/>
    </xf>
    <xf numFmtId="0" fontId="0" fillId="0" borderId="31" xfId="0" applyBorder="1" applyProtection="1"/>
    <xf numFmtId="0" fontId="1" fillId="0" borderId="14" xfId="0" applyFont="1" applyBorder="1" applyProtection="1"/>
    <xf numFmtId="0" fontId="1" fillId="0" borderId="22" xfId="0" applyFont="1" applyBorder="1" applyProtection="1"/>
    <xf numFmtId="176" fontId="1" fillId="0" borderId="0" xfId="28" applyNumberFormat="1" applyFont="1" applyBorder="1" applyAlignment="1" applyProtection="1">
      <alignment vertical="top" wrapText="1"/>
    </xf>
    <xf numFmtId="10" fontId="29" fillId="0" borderId="15" xfId="51" applyNumberFormat="1" applyFont="1" applyBorder="1" applyAlignment="1" applyProtection="1">
      <alignment vertical="top" wrapText="1"/>
      <protection locked="0"/>
    </xf>
    <xf numFmtId="10" fontId="29" fillId="0" borderId="17" xfId="51" applyNumberFormat="1" applyFont="1" applyBorder="1" applyAlignment="1" applyProtection="1">
      <alignment vertical="top" wrapText="1"/>
      <protection locked="0"/>
    </xf>
    <xf numFmtId="9" fontId="31" fillId="0" borderId="36" xfId="51" applyFont="1" applyBorder="1" applyProtection="1">
      <protection locked="0"/>
    </xf>
    <xf numFmtId="1" fontId="31" fillId="0" borderId="36" xfId="46" applyNumberFormat="1" applyFont="1" applyBorder="1" applyProtection="1">
      <protection locked="0"/>
    </xf>
    <xf numFmtId="1" fontId="31" fillId="0" borderId="39" xfId="46" applyNumberFormat="1" applyFont="1" applyBorder="1" applyProtection="1">
      <protection locked="0"/>
    </xf>
    <xf numFmtId="1" fontId="31" fillId="0" borderId="42" xfId="46" applyNumberFormat="1" applyFont="1" applyBorder="1" applyProtection="1">
      <protection locked="0"/>
    </xf>
    <xf numFmtId="173" fontId="32" fillId="0" borderId="40" xfId="46" applyNumberFormat="1" applyFont="1" applyBorder="1" applyProtection="1">
      <protection locked="0"/>
    </xf>
    <xf numFmtId="172" fontId="32" fillId="0" borderId="0" xfId="46" applyNumberFormat="1" applyFont="1" applyBorder="1" applyProtection="1"/>
    <xf numFmtId="172" fontId="32" fillId="0" borderId="25" xfId="46" applyNumberFormat="1" applyFont="1" applyBorder="1" applyProtection="1"/>
    <xf numFmtId="10" fontId="32" fillId="0" borderId="26" xfId="51" applyNumberFormat="1" applyFont="1" applyBorder="1" applyProtection="1"/>
    <xf numFmtId="173" fontId="32" fillId="0" borderId="43" xfId="46" applyNumberFormat="1" applyFont="1" applyBorder="1" applyProtection="1">
      <protection locked="0"/>
    </xf>
    <xf numFmtId="172" fontId="32" fillId="0" borderId="29" xfId="46" applyNumberFormat="1" applyFont="1" applyBorder="1" applyProtection="1"/>
    <xf numFmtId="172" fontId="32" fillId="0" borderId="28" xfId="46" applyNumberFormat="1" applyFont="1" applyBorder="1" applyProtection="1"/>
    <xf numFmtId="10" fontId="32" fillId="0" borderId="30" xfId="51" applyNumberFormat="1" applyFont="1" applyBorder="1" applyProtection="1"/>
    <xf numFmtId="2" fontId="32" fillId="0" borderId="46" xfId="51" applyNumberFormat="1" applyFont="1" applyBorder="1" applyProtection="1"/>
    <xf numFmtId="10" fontId="32" fillId="0" borderId="46" xfId="51" applyNumberFormat="1" applyFont="1" applyBorder="1" applyProtection="1"/>
    <xf numFmtId="10" fontId="32" fillId="0" borderId="36" xfId="28" applyNumberFormat="1" applyFont="1" applyBorder="1" applyProtection="1"/>
    <xf numFmtId="2" fontId="32" fillId="0" borderId="12" xfId="51" applyNumberFormat="1" applyFont="1" applyBorder="1" applyProtection="1"/>
    <xf numFmtId="10" fontId="32" fillId="0" borderId="12" xfId="51" applyNumberFormat="1" applyFont="1" applyBorder="1" applyProtection="1"/>
    <xf numFmtId="10" fontId="32" fillId="0" borderId="39" xfId="28" applyNumberFormat="1" applyFont="1" applyBorder="1" applyProtection="1"/>
    <xf numFmtId="2" fontId="32" fillId="0" borderId="47" xfId="51" applyNumberFormat="1" applyFont="1" applyBorder="1" applyProtection="1"/>
    <xf numFmtId="10" fontId="32" fillId="0" borderId="47" xfId="51" applyNumberFormat="1" applyFont="1" applyBorder="1" applyProtection="1"/>
    <xf numFmtId="10" fontId="32" fillId="0" borderId="42" xfId="28" applyNumberFormat="1" applyFont="1" applyBorder="1" applyProtection="1"/>
    <xf numFmtId="1" fontId="33" fillId="0" borderId="25" xfId="51" applyNumberFormat="1" applyFont="1" applyBorder="1" applyAlignment="1" applyProtection="1">
      <alignment vertical="top" wrapText="1"/>
      <protection locked="0"/>
    </xf>
    <xf numFmtId="0" fontId="33" fillId="0" borderId="25" xfId="48" applyFont="1" applyBorder="1" applyAlignment="1" applyProtection="1">
      <alignment vertical="top" wrapText="1"/>
    </xf>
    <xf numFmtId="0" fontId="33" fillId="0" borderId="26" xfId="48" applyFont="1" applyBorder="1" applyAlignment="1" applyProtection="1">
      <alignment vertical="top" wrapText="1"/>
    </xf>
    <xf numFmtId="10" fontId="33" fillId="0" borderId="25" xfId="51" applyNumberFormat="1" applyFont="1" applyBorder="1" applyAlignment="1" applyProtection="1">
      <alignment vertical="top" wrapText="1"/>
      <protection locked="0"/>
    </xf>
    <xf numFmtId="10" fontId="33" fillId="0" borderId="26" xfId="51" applyNumberFormat="1" applyFont="1" applyBorder="1" applyAlignment="1" applyProtection="1">
      <alignment vertical="top" wrapText="1"/>
      <protection locked="0"/>
    </xf>
    <xf numFmtId="1" fontId="33" fillId="0" borderId="28" xfId="51" applyNumberFormat="1" applyFont="1" applyBorder="1" applyAlignment="1" applyProtection="1">
      <alignment vertical="top" wrapText="1"/>
      <protection locked="0"/>
    </xf>
    <xf numFmtId="10" fontId="33" fillId="0" borderId="28" xfId="51" applyNumberFormat="1" applyFont="1" applyBorder="1" applyAlignment="1" applyProtection="1">
      <alignment vertical="top" wrapText="1"/>
      <protection locked="0"/>
    </xf>
    <xf numFmtId="10" fontId="33" fillId="0" borderId="30" xfId="51" applyNumberFormat="1" applyFont="1" applyBorder="1" applyAlignment="1" applyProtection="1">
      <alignment vertical="top" wrapText="1"/>
      <protection locked="0"/>
    </xf>
    <xf numFmtId="172" fontId="25" fillId="0" borderId="0" xfId="0" applyNumberFormat="1" applyFont="1" applyBorder="1" applyAlignment="1" applyProtection="1">
      <alignment horizontal="center"/>
    </xf>
    <xf numFmtId="0" fontId="27" fillId="0" borderId="35" xfId="46" applyFont="1" applyBorder="1" applyAlignment="1" applyProtection="1">
      <alignment horizontal="center"/>
    </xf>
    <xf numFmtId="0" fontId="27" fillId="0" borderId="45" xfId="46" applyFont="1" applyBorder="1" applyAlignment="1" applyProtection="1">
      <alignment horizontal="center"/>
    </xf>
    <xf numFmtId="0" fontId="27" fillId="0" borderId="0" xfId="46" applyFont="1" applyBorder="1" applyAlignment="1" applyProtection="1">
      <alignment horizontal="center"/>
    </xf>
    <xf numFmtId="0" fontId="2" fillId="0" borderId="31" xfId="46" applyFont="1" applyBorder="1" applyAlignment="1" applyProtection="1">
      <alignment horizontal="center"/>
    </xf>
    <xf numFmtId="0" fontId="2" fillId="0" borderId="14" xfId="46" applyBorder="1" applyAlignment="1" applyProtection="1">
      <alignment horizontal="center"/>
    </xf>
    <xf numFmtId="0" fontId="27" fillId="0" borderId="31" xfId="46" applyFont="1" applyBorder="1" applyAlignment="1" applyProtection="1">
      <alignment horizontal="center"/>
    </xf>
    <xf numFmtId="0" fontId="27" fillId="0" borderId="14" xfId="46" applyFont="1" applyBorder="1" applyAlignment="1" applyProtection="1">
      <alignment horizontal="center"/>
    </xf>
    <xf numFmtId="0" fontId="1" fillId="0" borderId="31" xfId="0" applyFont="1" applyBorder="1" applyAlignment="1">
      <alignment horizontal="center"/>
    </xf>
    <xf numFmtId="0" fontId="0" fillId="0" borderId="14" xfId="0" applyBorder="1" applyAlignment="1">
      <alignment horizontal="center"/>
    </xf>
    <xf numFmtId="177" fontId="30" fillId="0" borderId="49" xfId="46" applyNumberFormat="1" applyFont="1" applyBorder="1" applyProtection="1">
      <protection locked="0"/>
    </xf>
    <xf numFmtId="177" fontId="30" fillId="0" borderId="38" xfId="46" applyNumberFormat="1" applyFont="1" applyBorder="1" applyProtection="1">
      <protection locked="0"/>
    </xf>
    <xf numFmtId="2" fontId="2" fillId="29" borderId="37" xfId="46" applyNumberFormat="1" applyFill="1" applyBorder="1" applyProtection="1"/>
    <xf numFmtId="174" fontId="2" fillId="29" borderId="25" xfId="46" applyNumberFormat="1" applyFill="1" applyBorder="1" applyProtection="1"/>
    <xf numFmtId="174" fontId="2" fillId="29" borderId="0" xfId="46" applyNumberFormat="1" applyFill="1" applyBorder="1" applyProtection="1"/>
    <xf numFmtId="171" fontId="2" fillId="29" borderId="25" xfId="46" applyNumberFormat="1" applyFill="1" applyBorder="1" applyProtection="1"/>
    <xf numFmtId="175" fontId="2" fillId="29" borderId="25" xfId="46" applyNumberFormat="1" applyFill="1" applyBorder="1" applyProtection="1"/>
    <xf numFmtId="175" fontId="2" fillId="29" borderId="26" xfId="46" applyNumberFormat="1" applyFill="1" applyBorder="1" applyProtection="1"/>
    <xf numFmtId="2" fontId="2" fillId="29" borderId="35" xfId="46" applyNumberFormat="1" applyFill="1" applyBorder="1" applyProtection="1"/>
    <xf numFmtId="174" fontId="2" fillId="29" borderId="44" xfId="46" applyNumberFormat="1" applyFill="1" applyBorder="1" applyProtection="1"/>
    <xf numFmtId="174" fontId="2" fillId="29" borderId="48" xfId="46" applyNumberFormat="1" applyFill="1" applyBorder="1" applyProtection="1"/>
    <xf numFmtId="0" fontId="2" fillId="29" borderId="44" xfId="46" applyFill="1" applyBorder="1" applyProtection="1"/>
    <xf numFmtId="0" fontId="2" fillId="29" borderId="48" xfId="46" applyFill="1" applyBorder="1" applyProtection="1"/>
    <xf numFmtId="0" fontId="2" fillId="29" borderId="45" xfId="46" applyFill="1" applyBorder="1" applyProtection="1"/>
    <xf numFmtId="2" fontId="2" fillId="29" borderId="41" xfId="46" applyNumberFormat="1" applyFill="1" applyBorder="1" applyProtection="1"/>
    <xf numFmtId="174" fontId="2" fillId="29" borderId="28" xfId="46" applyNumberFormat="1" applyFill="1" applyBorder="1" applyProtection="1"/>
    <xf numFmtId="174" fontId="2" fillId="29" borderId="29" xfId="46" applyNumberFormat="1" applyFill="1" applyBorder="1" applyProtection="1"/>
    <xf numFmtId="171" fontId="2" fillId="29" borderId="28" xfId="46" applyNumberFormat="1" applyFill="1" applyBorder="1" applyProtection="1"/>
    <xf numFmtId="175" fontId="2" fillId="29" borderId="28" xfId="46" applyNumberFormat="1" applyFill="1" applyBorder="1" applyProtection="1"/>
    <xf numFmtId="175" fontId="2" fillId="29" borderId="30" xfId="46" applyNumberFormat="1" applyFill="1" applyBorder="1" applyProtection="1"/>
    <xf numFmtId="10" fontId="30" fillId="0" borderId="36" xfId="46" applyNumberFormat="1" applyFont="1" applyBorder="1" applyProtection="1">
      <protection locked="0"/>
    </xf>
    <xf numFmtId="10" fontId="30" fillId="0" borderId="42" xfId="46" applyNumberFormat="1" applyFont="1" applyBorder="1" applyProtection="1">
      <protection locked="0"/>
    </xf>
    <xf numFmtId="10" fontId="30" fillId="0" borderId="39" xfId="51" applyNumberFormat="1" applyFont="1" applyBorder="1" applyProtection="1">
      <protection locked="0"/>
    </xf>
    <xf numFmtId="10" fontId="30" fillId="0" borderId="42" xfId="51" applyNumberFormat="1" applyFont="1" applyBorder="1" applyProtection="1">
      <protection locked="0"/>
    </xf>
    <xf numFmtId="10" fontId="30" fillId="0" borderId="36" xfId="51" applyNumberFormat="1" applyFont="1" applyBorder="1" applyProtection="1">
      <protection locked="0"/>
    </xf>
    <xf numFmtId="173" fontId="32" fillId="0" borderId="50" xfId="46" applyNumberFormat="1" applyFont="1" applyBorder="1" applyProtection="1">
      <protection locked="0"/>
    </xf>
    <xf numFmtId="172" fontId="32" fillId="0" borderId="48" xfId="46" applyNumberFormat="1" applyFont="1" applyBorder="1" applyProtection="1"/>
    <xf numFmtId="172" fontId="32" fillId="0" borderId="44" xfId="46" applyNumberFormat="1" applyFont="1" applyBorder="1" applyProtection="1"/>
    <xf numFmtId="10" fontId="32" fillId="0" borderId="45" xfId="51" applyNumberFormat="1" applyFont="1" applyBorder="1" applyProtection="1"/>
    <xf numFmtId="177" fontId="30" fillId="0" borderId="51" xfId="46" applyNumberFormat="1" applyFont="1" applyBorder="1" applyProtection="1">
      <protection locked="0"/>
    </xf>
  </cellXfs>
  <cellStyles count="60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Data" xfId="29"/>
    <cellStyle name="DataInput" xfId="30"/>
    <cellStyle name="Explanatory Text" xfId="31" builtinId="53" customBuiltin="1"/>
    <cellStyle name="Good" xfId="32" builtinId="26" customBuiltin="1"/>
    <cellStyle name="Header" xfId="33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Input" xfId="38" builtinId="20" customBuiltin="1"/>
    <cellStyle name="Linked Cell" xfId="39" builtinId="24" customBuiltin="1"/>
    <cellStyle name="Milliers [0]_rating factor" xfId="40"/>
    <cellStyle name="Milliers_rating factor" xfId="41"/>
    <cellStyle name="Monétaire [0]_rating factor" xfId="42"/>
    <cellStyle name="Monétaire_rating factor" xfId="43"/>
    <cellStyle name="Month" xfId="44"/>
    <cellStyle name="Neutral" xfId="45" builtinId="28" customBuiltin="1"/>
    <cellStyle name="Normal" xfId="0" builtinId="0"/>
    <cellStyle name="Normal_CreditDerivsExamples" xfId="46"/>
    <cellStyle name="Normal_LFS_CollateralandCntrptyRisk" xfId="47"/>
    <cellStyle name="Normal_QTinRM3" xfId="48"/>
    <cellStyle name="Note" xfId="49" builtinId="10" customBuiltin="1"/>
    <cellStyle name="Output" xfId="50" builtinId="21" customBuiltin="1"/>
    <cellStyle name="Percent" xfId="51" builtinId="5"/>
    <cellStyle name="PricingProducts" xfId="52"/>
    <cellStyle name="Style 1" xfId="53"/>
    <cellStyle name="TIMES" xfId="54"/>
    <cellStyle name="Title" xfId="55" builtinId="15" customBuiltin="1"/>
    <cellStyle name="Total" xfId="56" builtinId="25" customBuiltin="1"/>
    <cellStyle name="Warning Text" xfId="57" builtinId="11" customBuiltin="1"/>
    <cellStyle name="WASP_PLStyle" xfId="58"/>
    <cellStyle name="Year" xfId="5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externalLink" Target="externalLinks/externalLink10.xml"/><Relationship Id="rId18" Type="http://schemas.openxmlformats.org/officeDocument/2006/relationships/externalLink" Target="externalLinks/externalLink15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8.xml"/><Relationship Id="rId7" Type="http://schemas.openxmlformats.org/officeDocument/2006/relationships/externalLink" Target="externalLinks/externalLink4.xml"/><Relationship Id="rId12" Type="http://schemas.openxmlformats.org/officeDocument/2006/relationships/externalLink" Target="externalLinks/externalLink9.xml"/><Relationship Id="rId17" Type="http://schemas.openxmlformats.org/officeDocument/2006/relationships/externalLink" Target="externalLinks/externalLink14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3.xml"/><Relationship Id="rId20" Type="http://schemas.openxmlformats.org/officeDocument/2006/relationships/externalLink" Target="externalLinks/externalLink17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24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2.xml"/><Relationship Id="rId23" Type="http://schemas.openxmlformats.org/officeDocument/2006/relationships/externalLink" Target="externalLinks/externalLink20.xml"/><Relationship Id="rId28" Type="http://schemas.microsoft.com/office/2006/relationships/vbaProject" Target="vbaProject.bin"/><Relationship Id="rId10" Type="http://schemas.openxmlformats.org/officeDocument/2006/relationships/externalLink" Target="externalLinks/externalLink7.xml"/><Relationship Id="rId19" Type="http://schemas.openxmlformats.org/officeDocument/2006/relationships/externalLink" Target="externalLinks/externalLink16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Relationship Id="rId22" Type="http://schemas.openxmlformats.org/officeDocument/2006/relationships/externalLink" Target="externalLinks/externalLink19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Spreadsheet10.1!$M$10</c:f>
              <c:strCache>
                <c:ptCount val="1"/>
                <c:pt idx="0">
                  <c:v>AAA</c:v>
                </c:pt>
              </c:strCache>
            </c:strRef>
          </c:tx>
          <c:xVal>
            <c:numRef>
              <c:f>Spreadsheet10.1!$L$11:$L$20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Spreadsheet10.1!$M$11:$M$20</c:f>
              <c:numCache>
                <c:formatCode>0.00%</c:formatCode>
                <c:ptCount val="10"/>
                <c:pt idx="0">
                  <c:v>0</c:v>
                </c:pt>
                <c:pt idx="1">
                  <c:v>1.4459999999827389E-5</c:v>
                </c:pt>
                <c:pt idx="2">
                  <c:v>4.4749059999849017E-5</c:v>
                </c:pt>
                <c:pt idx="3">
                  <c:v>9.354812723028072E-5</c:v>
                </c:pt>
                <c:pt idx="4">
                  <c:v>1.6471311958687895E-4</c:v>
                </c:pt>
                <c:pt idx="5">
                  <c:v>2.6312753315349546E-4</c:v>
                </c:pt>
                <c:pt idx="6">
                  <c:v>3.9454764928503749E-4</c:v>
                </c:pt>
                <c:pt idx="7">
                  <c:v>5.6544404326774877E-4</c:v>
                </c:pt>
                <c:pt idx="8">
                  <c:v>7.8284318134391739E-4</c:v>
                </c:pt>
                <c:pt idx="9">
                  <c:v>1.0541726307228272E-3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9B-4EBD-A023-80512AEC5FC4}"/>
            </c:ext>
          </c:extLst>
        </c:ser>
        <c:ser>
          <c:idx val="1"/>
          <c:order val="1"/>
          <c:tx>
            <c:strRef>
              <c:f>Spreadsheet10.1!$N$10</c:f>
              <c:strCache>
                <c:ptCount val="1"/>
                <c:pt idx="0">
                  <c:v>AA</c:v>
                </c:pt>
              </c:strCache>
            </c:strRef>
          </c:tx>
          <c:xVal>
            <c:numRef>
              <c:f>Spreadsheet10.1!$L$11:$L$20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Spreadsheet10.1!$N$11:$N$20</c:f>
              <c:numCache>
                <c:formatCode>0.00%</c:formatCode>
                <c:ptCount val="10"/>
                <c:pt idx="0">
                  <c:v>1.9999999999997797E-4</c:v>
                </c:pt>
                <c:pt idx="1">
                  <c:v>4.0342000000004319E-4</c:v>
                </c:pt>
                <c:pt idx="2">
                  <c:v>6.3297686599983471E-4</c:v>
                </c:pt>
                <c:pt idx="3">
                  <c:v>9.1084117784390184E-4</c:v>
                </c:pt>
                <c:pt idx="4">
                  <c:v>1.2583102112742051E-3</c:v>
                </c:pt>
                <c:pt idx="5">
                  <c:v>1.6955187808863625E-3</c:v>
                </c:pt>
                <c:pt idx="6">
                  <c:v>2.2411968443643016E-3</c:v>
                </c:pt>
                <c:pt idx="7">
                  <c:v>2.9124784486630473E-3</c:v>
                </c:pt>
                <c:pt idx="8">
                  <c:v>3.7247628976248004E-3</c:v>
                </c:pt>
                <c:pt idx="9">
                  <c:v>4.6916261524309055E-3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9B-4EBD-A023-80512AEC5FC4}"/>
            </c:ext>
          </c:extLst>
        </c:ser>
        <c:ser>
          <c:idx val="2"/>
          <c:order val="2"/>
          <c:tx>
            <c:strRef>
              <c:f>Spreadsheet10.1!$O$10</c:f>
              <c:strCache>
                <c:ptCount val="1"/>
                <c:pt idx="0">
                  <c:v>A</c:v>
                </c:pt>
              </c:strCache>
            </c:strRef>
          </c:tx>
          <c:xVal>
            <c:numRef>
              <c:f>Spreadsheet10.1!$L$11:$L$20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Spreadsheet10.1!$O$11:$O$20</c:f>
              <c:numCache>
                <c:formatCode>0.00%</c:formatCode>
                <c:ptCount val="10"/>
                <c:pt idx="0">
                  <c:v>0</c:v>
                </c:pt>
                <c:pt idx="1">
                  <c:v>2.3783000000010546E-4</c:v>
                </c:pt>
                <c:pt idx="2">
                  <c:v>7.4731233400004982E-4</c:v>
                </c:pt>
                <c:pt idx="3">
                  <c:v>1.5551951712919898E-3</c:v>
                </c:pt>
                <c:pt idx="4">
                  <c:v>2.6814637529263274E-3</c:v>
                </c:pt>
                <c:pt idx="5">
                  <c:v>4.139806502790222E-3</c:v>
                </c:pt>
                <c:pt idx="6">
                  <c:v>5.93818905927046E-3</c:v>
                </c:pt>
                <c:pt idx="7">
                  <c:v>8.0794919136797372E-3</c:v>
                </c:pt>
                <c:pt idx="8">
                  <c:v>1.0562173893047477E-2</c:v>
                </c:pt>
                <c:pt idx="9">
                  <c:v>1.3380931574374588E-2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9B-4EBD-A023-80512AEC5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20960"/>
        <c:axId val="171906560"/>
      </c:scatterChart>
      <c:valAx>
        <c:axId val="167320960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1906560"/>
        <c:crosses val="autoZero"/>
        <c:crossBetween val="midCat"/>
      </c:valAx>
      <c:valAx>
        <c:axId val="1719065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Cumulative default probability</a:t>
                </a:r>
              </a:p>
            </c:rich>
          </c:tx>
          <c:layout/>
          <c:overlay val="0"/>
        </c:title>
        <c:numFmt formatCode="0.0%" sourceLinked="0"/>
        <c:majorTickMark val="out"/>
        <c:minorTickMark val="none"/>
        <c:tickLblPos val="nextTo"/>
        <c:crossAx val="1673209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Spreadsheet10.1!$P$10</c:f>
              <c:strCache>
                <c:ptCount val="1"/>
                <c:pt idx="0">
                  <c:v>BBB</c:v>
                </c:pt>
              </c:strCache>
            </c:strRef>
          </c:tx>
          <c:xVal>
            <c:numRef>
              <c:f>Spreadsheet10.1!$L$11:$L$20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Spreadsheet10.1!$P$11:$P$20</c:f>
              <c:numCache>
                <c:formatCode>0.00%</c:formatCode>
                <c:ptCount val="10"/>
                <c:pt idx="0">
                  <c:v>1.4999999999999458E-3</c:v>
                </c:pt>
                <c:pt idx="1">
                  <c:v>4.1176699999998512E-3</c:v>
                </c:pt>
                <c:pt idx="2">
                  <c:v>7.7851100049997068E-3</c:v>
                </c:pt>
                <c:pt idx="3">
                  <c:v>1.2420337851574925E-2</c:v>
                </c:pt>
                <c:pt idx="4">
                  <c:v>1.7932596460640049E-2</c:v>
                </c:pt>
                <c:pt idx="5">
                  <c:v>2.4226929595127955E-2</c:v>
                </c:pt>
                <c:pt idx="6">
                  <c:v>3.1207880314234604E-2</c:v>
                </c:pt>
                <c:pt idx="7">
                  <c:v>3.8782319325339265E-2</c:v>
                </c:pt>
                <c:pt idx="8">
                  <c:v>4.6861488363735826E-2</c:v>
                </c:pt>
                <c:pt idx="9">
                  <c:v>5.5362376555023185E-2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54-4C11-B9AC-40B2C8F45ACC}"/>
            </c:ext>
          </c:extLst>
        </c:ser>
        <c:ser>
          <c:idx val="4"/>
          <c:order val="1"/>
          <c:tx>
            <c:strRef>
              <c:f>Spreadsheet10.1!$Q$10</c:f>
              <c:strCache>
                <c:ptCount val="1"/>
                <c:pt idx="0">
                  <c:v>BB</c:v>
                </c:pt>
              </c:strCache>
            </c:strRef>
          </c:tx>
          <c:xVal>
            <c:numRef>
              <c:f>Spreadsheet10.1!$L$11:$L$20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Spreadsheet10.1!$Q$11:$Q$20</c:f>
              <c:numCache>
                <c:formatCode>0.00%</c:formatCode>
                <c:ptCount val="10"/>
                <c:pt idx="0">
                  <c:v>1.2900000000000023E-2</c:v>
                </c:pt>
                <c:pt idx="1">
                  <c:v>2.8790800000000005E-2</c:v>
                </c:pt>
                <c:pt idx="2">
                  <c:v>4.6854402061999978E-2</c:v>
                </c:pt>
                <c:pt idx="3">
                  <c:v>6.6409768469099517E-2</c:v>
                </c:pt>
                <c:pt idx="4">
                  <c:v>8.6902424453446758E-2</c:v>
                </c:pt>
                <c:pt idx="5">
                  <c:v>0.10788978058653886</c:v>
                </c:pt>
                <c:pt idx="6">
                  <c:v>0.12902518150493869</c:v>
                </c:pt>
                <c:pt idx="7">
                  <c:v>0.15004238416792326</c:v>
                </c:pt>
                <c:pt idx="8">
                  <c:v>0.17074135156651715</c:v>
                </c:pt>
                <c:pt idx="9">
                  <c:v>0.19097574772288439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54-4C11-B9AC-40B2C8F45ACC}"/>
            </c:ext>
          </c:extLst>
        </c:ser>
        <c:ser>
          <c:idx val="5"/>
          <c:order val="2"/>
          <c:tx>
            <c:strRef>
              <c:f>Spreadsheet10.1!$R$10</c:f>
              <c:strCache>
                <c:ptCount val="1"/>
                <c:pt idx="0">
                  <c:v>B</c:v>
                </c:pt>
              </c:strCache>
            </c:strRef>
          </c:tx>
          <c:xVal>
            <c:numRef>
              <c:f>Spreadsheet10.1!$L$11:$L$20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Spreadsheet10.1!$R$11:$R$20</c:f>
              <c:numCache>
                <c:formatCode>0.00%</c:formatCode>
                <c:ptCount val="10"/>
                <c:pt idx="0">
                  <c:v>6.8100000000000049E-2</c:v>
                </c:pt>
                <c:pt idx="1">
                  <c:v>0.13087470000000001</c:v>
                </c:pt>
                <c:pt idx="2">
                  <c:v>0.18800417829799998</c:v>
                </c:pt>
                <c:pt idx="3">
                  <c:v>0.23958170073431373</c:v>
                </c:pt>
                <c:pt idx="4">
                  <c:v>0.28592874578213279</c:v>
                </c:pt>
                <c:pt idx="5">
                  <c:v>0.32747850404558665</c:v>
                </c:pt>
                <c:pt idx="6">
                  <c:v>0.36470432944748177</c:v>
                </c:pt>
                <c:pt idx="7">
                  <c:v>0.39807740506257472</c:v>
                </c:pt>
                <c:pt idx="8">
                  <c:v>0.42804314835035084</c:v>
                </c:pt>
                <c:pt idx="9">
                  <c:v>0.45500942649279619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54-4C11-B9AC-40B2C8F45ACC}"/>
            </c:ext>
          </c:extLst>
        </c:ser>
        <c:ser>
          <c:idx val="6"/>
          <c:order val="3"/>
          <c:tx>
            <c:strRef>
              <c:f>Spreadsheet10.1!$S$10</c:f>
              <c:strCache>
                <c:ptCount val="1"/>
                <c:pt idx="0">
                  <c:v>CCC</c:v>
                </c:pt>
              </c:strCache>
            </c:strRef>
          </c:tx>
          <c:xVal>
            <c:numRef>
              <c:f>Spreadsheet10.1!$L$11:$L$20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Spreadsheet10.1!$S$11:$S$20</c:f>
              <c:numCache>
                <c:formatCode>0.00%</c:formatCode>
                <c:ptCount val="10"/>
                <c:pt idx="0">
                  <c:v>0.24050000000000005</c:v>
                </c:pt>
                <c:pt idx="1">
                  <c:v>0.40997823</c:v>
                </c:pt>
                <c:pt idx="2">
                  <c:v>0.53016036387400001</c:v>
                </c:pt>
                <c:pt idx="3">
                  <c:v>0.61605032519966851</c:v>
                </c:pt>
                <c:pt idx="4">
                  <c:v>0.6780201647764269</c:v>
                </c:pt>
                <c:pt idx="5">
                  <c:v>0.72324852865255007</c:v>
                </c:pt>
                <c:pt idx="6">
                  <c:v>0.75671105225813839</c:v>
                </c:pt>
                <c:pt idx="7">
                  <c:v>0.78186248988288853</c:v>
                </c:pt>
                <c:pt idx="8">
                  <c:v>0.80110672038077158</c:v>
                </c:pt>
                <c:pt idx="9">
                  <c:v>0.81612074989115702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54-4C11-B9AC-40B2C8F45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941888"/>
        <c:axId val="171943808"/>
      </c:scatterChart>
      <c:valAx>
        <c:axId val="171941888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1943808"/>
        <c:crosses val="autoZero"/>
        <c:crossBetween val="midCat"/>
      </c:valAx>
      <c:valAx>
        <c:axId val="1719438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Cumulative default probability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7194188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Spreadsheet10.2!$E$24</c:f>
              <c:strCache>
                <c:ptCount val="1"/>
                <c:pt idx="0">
                  <c:v>Cumulative Default Probability</c:v>
                </c:pt>
              </c:strCache>
            </c:strRef>
          </c:tx>
          <c:marker>
            <c:symbol val="none"/>
          </c:marker>
          <c:xVal>
            <c:numRef>
              <c:f>Spreadsheet10.2!$B$25:$B$125</c:f>
              <c:numCache>
                <c:formatCode>0.00</c:formatCode>
                <c:ptCount val="1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</c:numCache>
            </c:numRef>
          </c:xVal>
          <c:yVal>
            <c:numRef>
              <c:f>Spreadsheet10.2!$E$25:$E$125</c:f>
              <c:numCache>
                <c:formatCode>0.000</c:formatCode>
                <c:ptCount val="101"/>
                <c:pt idx="0">
                  <c:v>0</c:v>
                </c:pt>
                <c:pt idx="1">
                  <c:v>1.3495493566861305E-2</c:v>
                </c:pt>
                <c:pt idx="2">
                  <c:v>2.6808858787109369E-2</c:v>
                </c:pt>
                <c:pt idx="3">
                  <c:v>3.99425535726744E-2</c:v>
                </c:pt>
                <c:pt idx="4">
                  <c:v>5.2899002664751671E-2</c:v>
                </c:pt>
                <c:pt idx="5">
                  <c:v>6.5680598081457431E-2</c:v>
                </c:pt>
                <c:pt idx="6">
                  <c:v>7.8289699559442871E-2</c:v>
                </c:pt>
                <c:pt idx="7">
                  <c:v>9.0728634989548196E-2</c:v>
                </c:pt>
                <c:pt idx="8">
                  <c:v>0.10299970084657795</c:v>
                </c:pt>
                <c:pt idx="9">
                  <c:v>0.11510516261327564</c:v>
                </c:pt>
                <c:pt idx="10">
                  <c:v>0.12704725519857696</c:v>
                </c:pt>
                <c:pt idx="11">
                  <c:v>0.13882818335021851</c:v>
                </c:pt>
                <c:pt idx="12">
                  <c:v>0.15045012206177788</c:v>
                </c:pt>
                <c:pt idx="13">
                  <c:v>0.16191521697422095</c:v>
                </c:pt>
                <c:pt idx="14">
                  <c:v>0.17322558477202976</c:v>
                </c:pt>
                <c:pt idx="15">
                  <c:v>0.1843833135739843</c:v>
                </c:pt>
                <c:pt idx="16">
                  <c:v>0.19539046331867138</c:v>
                </c:pt>
                <c:pt idx="17">
                  <c:v>0.20624906614478955</c:v>
                </c:pt>
                <c:pt idx="18">
                  <c:v>0.21696112676632273</c:v>
                </c:pt>
                <c:pt idx="19">
                  <c:v>0.22752862284265019</c:v>
                </c:pt>
                <c:pt idx="20">
                  <c:v>0.23795350534366166</c:v>
                </c:pt>
                <c:pt idx="21">
                  <c:v>0.24108649598563625</c:v>
                </c:pt>
                <c:pt idx="22">
                  <c:v>0.24420660600886712</c:v>
                </c:pt>
                <c:pt idx="23">
                  <c:v>0.24731388836925428</c:v>
                </c:pt>
                <c:pt idx="24">
                  <c:v>0.25040839580498087</c:v>
                </c:pt>
                <c:pt idx="25">
                  <c:v>0.25349018083740837</c:v>
                </c:pt>
                <c:pt idx="26">
                  <c:v>0.25655929577196801</c:v>
                </c:pt>
                <c:pt idx="27">
                  <c:v>0.25961579269904833</c:v>
                </c:pt>
                <c:pt idx="28">
                  <c:v>0.26265972349487954</c:v>
                </c:pt>
                <c:pt idx="29">
                  <c:v>0.26569113982241388</c:v>
                </c:pt>
                <c:pt idx="30">
                  <c:v>0.26871009313220229</c:v>
                </c:pt>
                <c:pt idx="31">
                  <c:v>0.27171663466326801</c:v>
                </c:pt>
                <c:pt idx="32">
                  <c:v>0.2747108154439758</c:v>
                </c:pt>
                <c:pt idx="33">
                  <c:v>0.27769268629289845</c:v>
                </c:pt>
                <c:pt idx="34">
                  <c:v>0.280662297819679</c:v>
                </c:pt>
                <c:pt idx="35">
                  <c:v>0.2836197004258898</c:v>
                </c:pt>
                <c:pt idx="36">
                  <c:v>0.28656494430588797</c:v>
                </c:pt>
                <c:pt idx="37">
                  <c:v>0.28949807944766737</c:v>
                </c:pt>
                <c:pt idx="38">
                  <c:v>0.2924191556337068</c:v>
                </c:pt>
                <c:pt idx="39">
                  <c:v>0.29532822244181522</c:v>
                </c:pt>
                <c:pt idx="40">
                  <c:v>0.298225329245973</c:v>
                </c:pt>
                <c:pt idx="41">
                  <c:v>0.30111052521716997</c:v>
                </c:pt>
                <c:pt idx="42">
                  <c:v>0.30398385932423999</c:v>
                </c:pt>
                <c:pt idx="43">
                  <c:v>0.306845380334692</c:v>
                </c:pt>
                <c:pt idx="44">
                  <c:v>0.30969513681553806</c:v>
                </c:pt>
                <c:pt idx="45">
                  <c:v>0.3125331771341171</c:v>
                </c:pt>
                <c:pt idx="46">
                  <c:v>0.3153595494589162</c:v>
                </c:pt>
                <c:pt idx="47">
                  <c:v>0.31817430176038808</c:v>
                </c:pt>
                <c:pt idx="48">
                  <c:v>0.32097748181176522</c:v>
                </c:pt>
                <c:pt idx="49">
                  <c:v>0.32376913718987066</c:v>
                </c:pt>
                <c:pt idx="50">
                  <c:v>0.32654931527592568</c:v>
                </c:pt>
                <c:pt idx="51">
                  <c:v>0.3293180632563536</c:v>
                </c:pt>
                <c:pt idx="52">
                  <c:v>0.33207542812358115</c:v>
                </c:pt>
                <c:pt idx="53">
                  <c:v>0.3348214566768356</c:v>
                </c:pt>
                <c:pt idx="54">
                  <c:v>0.33755619552293925</c:v>
                </c:pt>
                <c:pt idx="55">
                  <c:v>0.34027969107710054</c:v>
                </c:pt>
                <c:pt idx="56">
                  <c:v>0.34299198956370169</c:v>
                </c:pt>
                <c:pt idx="57">
                  <c:v>0.34569313701708326</c:v>
                </c:pt>
                <c:pt idx="58">
                  <c:v>0.34838317928232554</c:v>
                </c:pt>
                <c:pt idx="59">
                  <c:v>0.35106216201602658</c:v>
                </c:pt>
                <c:pt idx="60">
                  <c:v>0.35373013068707715</c:v>
                </c:pt>
                <c:pt idx="61">
                  <c:v>0.35638713057743232</c:v>
                </c:pt>
                <c:pt idx="62">
                  <c:v>0.35903320678288042</c:v>
                </c:pt>
                <c:pt idx="63">
                  <c:v>0.36166840421380786</c:v>
                </c:pt>
                <c:pt idx="64">
                  <c:v>0.36429276759596163</c:v>
                </c:pt>
                <c:pt idx="65">
                  <c:v>0.3669063414712086</c:v>
                </c:pt>
                <c:pt idx="66">
                  <c:v>0.3695091701982911</c:v>
                </c:pt>
                <c:pt idx="67">
                  <c:v>0.37210129795358016</c:v>
                </c:pt>
                <c:pt idx="68">
                  <c:v>0.37468276873182516</c:v>
                </c:pt>
                <c:pt idx="69">
                  <c:v>0.37725362634690029</c:v>
                </c:pt>
                <c:pt idx="70">
                  <c:v>0.37981391443254864</c:v>
                </c:pt>
                <c:pt idx="71">
                  <c:v>0.3823636764431223</c:v>
                </c:pt>
                <c:pt idx="72">
                  <c:v>0.38490295565432042</c:v>
                </c:pt>
                <c:pt idx="73">
                  <c:v>0.38743179516392312</c:v>
                </c:pt>
                <c:pt idx="74">
                  <c:v>0.38995023789252337</c:v>
                </c:pt>
                <c:pt idx="75">
                  <c:v>0.39245832658425528</c:v>
                </c:pt>
                <c:pt idx="76">
                  <c:v>0.39495610380751967</c:v>
                </c:pt>
                <c:pt idx="77">
                  <c:v>0.39744361195570643</c:v>
                </c:pt>
                <c:pt idx="78">
                  <c:v>0.39992089324791424</c:v>
                </c:pt>
                <c:pt idx="79">
                  <c:v>0.40238798972966705</c:v>
                </c:pt>
                <c:pt idx="80">
                  <c:v>0.40484494327362741</c:v>
                </c:pt>
                <c:pt idx="81">
                  <c:v>0.40729179558030781</c:v>
                </c:pt>
                <c:pt idx="82">
                  <c:v>0.40972858817877766</c:v>
                </c:pt>
                <c:pt idx="83">
                  <c:v>0.41215536242736861</c:v>
                </c:pt>
                <c:pt idx="84">
                  <c:v>0.41457215951437643</c:v>
                </c:pt>
                <c:pt idx="85">
                  <c:v>0.41697902045876012</c:v>
                </c:pt>
                <c:pt idx="86">
                  <c:v>0.41937598611083793</c:v>
                </c:pt>
                <c:pt idx="87">
                  <c:v>0.42176309715298088</c:v>
                </c:pt>
                <c:pt idx="88">
                  <c:v>0.42414039410030302</c:v>
                </c:pt>
                <c:pt idx="89">
                  <c:v>0.42650791730134929</c:v>
                </c:pt>
                <c:pt idx="90">
                  <c:v>0.42886570693878034</c:v>
                </c:pt>
                <c:pt idx="91">
                  <c:v>0.4312138030300543</c:v>
                </c:pt>
                <c:pt idx="92">
                  <c:v>0.43355224542810611</c:v>
                </c:pt>
                <c:pt idx="93">
                  <c:v>0.4358810738220239</c:v>
                </c:pt>
                <c:pt idx="94">
                  <c:v>0.43820032773772277</c:v>
                </c:pt>
                <c:pt idx="95">
                  <c:v>0.44051004653861536</c:v>
                </c:pt>
                <c:pt idx="96">
                  <c:v>0.44281026942628021</c:v>
                </c:pt>
                <c:pt idx="97">
                  <c:v>0.44510103544112689</c:v>
                </c:pt>
                <c:pt idx="98">
                  <c:v>0.4473823834630587</c:v>
                </c:pt>
                <c:pt idx="99">
                  <c:v>0.44965435221213257</c:v>
                </c:pt>
                <c:pt idx="100">
                  <c:v>0.45191698024921634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99-458B-AD8A-6BF47EED8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865600"/>
        <c:axId val="171867520"/>
      </c:scatterChart>
      <c:scatterChart>
        <c:scatterStyle val="smoothMarker"/>
        <c:varyColors val="0"/>
        <c:ser>
          <c:idx val="1"/>
          <c:order val="1"/>
          <c:tx>
            <c:strRef>
              <c:f>Spreadsheet10.2!$F$24</c:f>
              <c:strCache>
                <c:ptCount val="1"/>
                <c:pt idx="0">
                  <c:v>Marginal Def Probability</c:v>
                </c:pt>
              </c:strCache>
            </c:strRef>
          </c:tx>
          <c:marker>
            <c:symbol val="none"/>
          </c:marker>
          <c:xVal>
            <c:numRef>
              <c:f>Spreadsheet10.2!$B$25:$B$125</c:f>
              <c:numCache>
                <c:formatCode>0.00</c:formatCode>
                <c:ptCount val="1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</c:numCache>
            </c:numRef>
          </c:xVal>
          <c:yVal>
            <c:numRef>
              <c:f>Spreadsheet10.2!$F$25:$F$125</c:f>
              <c:numCache>
                <c:formatCode>0.00000</c:formatCode>
                <c:ptCount val="101"/>
                <c:pt idx="1">
                  <c:v>1.3495493566861305E-2</c:v>
                </c:pt>
                <c:pt idx="2">
                  <c:v>1.3313365220248063E-2</c:v>
                </c:pt>
                <c:pt idx="3">
                  <c:v>1.3133694785565031E-2</c:v>
                </c:pt>
                <c:pt idx="4">
                  <c:v>1.2956449092077271E-2</c:v>
                </c:pt>
                <c:pt idx="5">
                  <c:v>1.278159541670576E-2</c:v>
                </c:pt>
                <c:pt idx="6">
                  <c:v>1.260910147798544E-2</c:v>
                </c:pt>
                <c:pt idx="7">
                  <c:v>1.2438935430105325E-2</c:v>
                </c:pt>
                <c:pt idx="8">
                  <c:v>1.227106585702975E-2</c:v>
                </c:pt>
                <c:pt idx="9">
                  <c:v>1.2105461766697689E-2</c:v>
                </c:pt>
                <c:pt idx="10">
                  <c:v>1.1942092585301323E-2</c:v>
                </c:pt>
                <c:pt idx="11">
                  <c:v>1.1780928151641556E-2</c:v>
                </c:pt>
                <c:pt idx="12">
                  <c:v>1.1621938711559365E-2</c:v>
                </c:pt>
                <c:pt idx="13">
                  <c:v>1.1465094912443075E-2</c:v>
                </c:pt>
                <c:pt idx="14">
                  <c:v>1.1310367797808807E-2</c:v>
                </c:pt>
                <c:pt idx="15">
                  <c:v>1.1157728801954536E-2</c:v>
                </c:pt>
                <c:pt idx="16">
                  <c:v>1.1007149744687084E-2</c:v>
                </c:pt>
                <c:pt idx="17">
                  <c:v>1.0858602826118169E-2</c:v>
                </c:pt>
                <c:pt idx="18">
                  <c:v>1.0712060621533182E-2</c:v>
                </c:pt>
                <c:pt idx="19">
                  <c:v>1.0567496076327454E-2</c:v>
                </c:pt>
                <c:pt idx="20">
                  <c:v>1.0424882501011479E-2</c:v>
                </c:pt>
                <c:pt idx="21">
                  <c:v>3.1329906419745868E-3</c:v>
                </c:pt>
                <c:pt idx="22">
                  <c:v>3.1201100232308709E-3</c:v>
                </c:pt>
                <c:pt idx="23">
                  <c:v>3.1072823603871536E-3</c:v>
                </c:pt>
                <c:pt idx="24">
                  <c:v>3.09450743572659E-3</c:v>
                </c:pt>
                <c:pt idx="25">
                  <c:v>3.0817850324275087E-3</c:v>
                </c:pt>
                <c:pt idx="26">
                  <c:v>3.0691149345596358E-3</c:v>
                </c:pt>
                <c:pt idx="27">
                  <c:v>3.0564969270803211E-3</c:v>
                </c:pt>
                <c:pt idx="28">
                  <c:v>3.0439307958312067E-3</c:v>
                </c:pt>
                <c:pt idx="29">
                  <c:v>3.031416327534342E-3</c:v>
                </c:pt>
                <c:pt idx="30">
                  <c:v>3.018953309788408E-3</c:v>
                </c:pt>
                <c:pt idx="31">
                  <c:v>3.0065415310657206E-3</c:v>
                </c:pt>
                <c:pt idx="32">
                  <c:v>2.9941807807077891E-3</c:v>
                </c:pt>
                <c:pt idx="33">
                  <c:v>2.981870848922652E-3</c:v>
                </c:pt>
                <c:pt idx="34">
                  <c:v>2.9696115267805467E-3</c:v>
                </c:pt>
                <c:pt idx="35">
                  <c:v>2.9574026062108016E-3</c:v>
                </c:pt>
                <c:pt idx="36">
                  <c:v>2.9452438799981717E-3</c:v>
                </c:pt>
                <c:pt idx="37">
                  <c:v>2.9331351417793972E-3</c:v>
                </c:pt>
                <c:pt idx="38">
                  <c:v>2.9210761860394285E-3</c:v>
                </c:pt>
                <c:pt idx="39">
                  <c:v>2.9090668081084292E-3</c:v>
                </c:pt>
                <c:pt idx="40">
                  <c:v>2.8971068041577785E-3</c:v>
                </c:pt>
                <c:pt idx="41">
                  <c:v>2.8851959711969632E-3</c:v>
                </c:pt>
                <c:pt idx="42">
                  <c:v>2.8733341070700247E-3</c:v>
                </c:pt>
                <c:pt idx="43">
                  <c:v>2.8615210104520061E-3</c:v>
                </c:pt>
                <c:pt idx="44">
                  <c:v>2.8497564808460663E-3</c:v>
                </c:pt>
                <c:pt idx="45">
                  <c:v>2.8380403185790382E-3</c:v>
                </c:pt>
                <c:pt idx="46">
                  <c:v>2.8263723247990979E-3</c:v>
                </c:pt>
                <c:pt idx="47">
                  <c:v>2.8147523014718789E-3</c:v>
                </c:pt>
                <c:pt idx="48">
                  <c:v>2.803180051377141E-3</c:v>
                </c:pt>
                <c:pt idx="49">
                  <c:v>2.7916553781054398E-3</c:v>
                </c:pt>
                <c:pt idx="50">
                  <c:v>2.7801780860550185E-3</c:v>
                </c:pt>
                <c:pt idx="51">
                  <c:v>2.7687479804279214E-3</c:v>
                </c:pt>
                <c:pt idx="52">
                  <c:v>2.7573648672275519E-3</c:v>
                </c:pt>
                <c:pt idx="53">
                  <c:v>2.7460285532544537E-3</c:v>
                </c:pt>
                <c:pt idx="54">
                  <c:v>2.7347388461036459E-3</c:v>
                </c:pt>
                <c:pt idx="55">
                  <c:v>2.7234955541612926E-3</c:v>
                </c:pt>
                <c:pt idx="56">
                  <c:v>2.7122984866011501E-3</c:v>
                </c:pt>
                <c:pt idx="57">
                  <c:v>2.7011474533815694E-3</c:v>
                </c:pt>
                <c:pt idx="58">
                  <c:v>2.6900422652422762E-3</c:v>
                </c:pt>
                <c:pt idx="59">
                  <c:v>2.6789827337010408E-3</c:v>
                </c:pt>
                <c:pt idx="60">
                  <c:v>2.667968671050569E-3</c:v>
                </c:pt>
                <c:pt idx="61">
                  <c:v>2.6569998903551717E-3</c:v>
                </c:pt>
                <c:pt idx="62">
                  <c:v>2.6460762054481002E-3</c:v>
                </c:pt>
                <c:pt idx="63">
                  <c:v>2.6351974309274384E-3</c:v>
                </c:pt>
                <c:pt idx="64">
                  <c:v>2.6243633821537715E-3</c:v>
                </c:pt>
                <c:pt idx="65">
                  <c:v>2.6135738752469662E-3</c:v>
                </c:pt>
                <c:pt idx="66">
                  <c:v>2.6028287270825068E-3</c:v>
                </c:pt>
                <c:pt idx="67">
                  <c:v>2.5921277552890531E-3</c:v>
                </c:pt>
                <c:pt idx="68">
                  <c:v>2.5814707782449986E-3</c:v>
                </c:pt>
                <c:pt idx="69">
                  <c:v>2.5708576150751394E-3</c:v>
                </c:pt>
                <c:pt idx="70">
                  <c:v>2.5602880856483434E-3</c:v>
                </c:pt>
                <c:pt idx="71">
                  <c:v>2.549762010573664E-3</c:v>
                </c:pt>
                <c:pt idx="72">
                  <c:v>2.5392792111981199E-3</c:v>
                </c:pt>
                <c:pt idx="73">
                  <c:v>2.5288395096026983E-3</c:v>
                </c:pt>
                <c:pt idx="74">
                  <c:v>2.5184427286002453E-3</c:v>
                </c:pt>
                <c:pt idx="75">
                  <c:v>2.5080886917319134E-3</c:v>
                </c:pt>
                <c:pt idx="76">
                  <c:v>2.4977772232643858E-3</c:v>
                </c:pt>
                <c:pt idx="77">
                  <c:v>2.4875081481867678E-3</c:v>
                </c:pt>
                <c:pt idx="78">
                  <c:v>2.4772812922078113E-3</c:v>
                </c:pt>
                <c:pt idx="79">
                  <c:v>2.4670964817528063E-3</c:v>
                </c:pt>
                <c:pt idx="80">
                  <c:v>2.4569535439603607E-3</c:v>
                </c:pt>
                <c:pt idx="81">
                  <c:v>2.4468523066804027E-3</c:v>
                </c:pt>
                <c:pt idx="82">
                  <c:v>2.4367925984698502E-3</c:v>
                </c:pt>
                <c:pt idx="83">
                  <c:v>2.426774248590946E-3</c:v>
                </c:pt>
                <c:pt idx="84">
                  <c:v>2.4167970870078159E-3</c:v>
                </c:pt>
                <c:pt idx="85">
                  <c:v>2.406860944383693E-3</c:v>
                </c:pt>
                <c:pt idx="86">
                  <c:v>2.3969656520778093E-3</c:v>
                </c:pt>
                <c:pt idx="87">
                  <c:v>2.3871110421429531E-3</c:v>
                </c:pt>
                <c:pt idx="88">
                  <c:v>2.3772969473221384E-3</c:v>
                </c:pt>
                <c:pt idx="89">
                  <c:v>2.3675232010462732E-3</c:v>
                </c:pt>
                <c:pt idx="90">
                  <c:v>2.3577896374310514E-3</c:v>
                </c:pt>
                <c:pt idx="91">
                  <c:v>2.3480960912739546E-3</c:v>
                </c:pt>
                <c:pt idx="92">
                  <c:v>2.3384423980518099E-3</c:v>
                </c:pt>
                <c:pt idx="93">
                  <c:v>2.3288283939177923E-3</c:v>
                </c:pt>
                <c:pt idx="94">
                  <c:v>2.3192539156988712E-3</c:v>
                </c:pt>
                <c:pt idx="95">
                  <c:v>2.3097188008925906E-3</c:v>
                </c:pt>
                <c:pt idx="96">
                  <c:v>2.3002228876648489E-3</c:v>
                </c:pt>
                <c:pt idx="97">
                  <c:v>2.2907660148466791E-3</c:v>
                </c:pt>
                <c:pt idx="98">
                  <c:v>2.2813480219318061E-3</c:v>
                </c:pt>
                <c:pt idx="99">
                  <c:v>2.2719687490738716E-3</c:v>
                </c:pt>
                <c:pt idx="100">
                  <c:v>2.2626280370837693E-3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99-458B-AD8A-6BF47EED8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871616"/>
        <c:axId val="171869696"/>
      </c:scatterChart>
      <c:valAx>
        <c:axId val="171865600"/>
        <c:scaling>
          <c:orientation val="minMax"/>
          <c:max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71867520"/>
        <c:crosses val="autoZero"/>
        <c:crossBetween val="midCat"/>
      </c:valAx>
      <c:valAx>
        <c:axId val="1718675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Cumulative default probability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71865600"/>
        <c:crosses val="autoZero"/>
        <c:crossBetween val="midCat"/>
      </c:valAx>
      <c:valAx>
        <c:axId val="17186969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Marginal Default Probability</a:t>
                </a:r>
              </a:p>
            </c:rich>
          </c:tx>
          <c:layout/>
          <c:overlay val="0"/>
        </c:title>
        <c:numFmt formatCode="0.00%" sourceLinked="0"/>
        <c:majorTickMark val="out"/>
        <c:minorTickMark val="none"/>
        <c:tickLblPos val="nextTo"/>
        <c:crossAx val="171871616"/>
        <c:crosses val="max"/>
        <c:crossBetween val="midCat"/>
      </c:valAx>
      <c:valAx>
        <c:axId val="17187161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71869696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9961822953949"/>
          <c:y val="0.18197185065861443"/>
          <c:w val="0.78336408706487448"/>
          <c:h val="0.5889592425876295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'Spreadsheet10.3 (new)'!$G$10</c:f>
              <c:strCache>
                <c:ptCount val="1"/>
                <c:pt idx="0">
                  <c:v>Actual</c:v>
                </c:pt>
              </c:strCache>
            </c:strRef>
          </c:tx>
          <c:marker>
            <c:symbol val="none"/>
          </c:marker>
          <c:xVal>
            <c:numRef>
              <c:f>'Spreadsheet10.3 (new)'!$E$11:$E$213</c:f>
              <c:numCache>
                <c:formatCode>0.00</c:formatCode>
                <c:ptCount val="203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</c:v>
                </c:pt>
                <c:pt idx="6">
                  <c:v>0.25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1.0000000000000002</c:v>
                </c:pt>
                <c:pt idx="23">
                  <c:v>1.0500000000000003</c:v>
                </c:pt>
                <c:pt idx="24">
                  <c:v>1.1000000000000003</c:v>
                </c:pt>
                <c:pt idx="25">
                  <c:v>1.1500000000000004</c:v>
                </c:pt>
                <c:pt idx="26">
                  <c:v>1.2000000000000004</c:v>
                </c:pt>
                <c:pt idx="27">
                  <c:v>1.2500000000000004</c:v>
                </c:pt>
                <c:pt idx="28">
                  <c:v>1.3000000000000005</c:v>
                </c:pt>
                <c:pt idx="29">
                  <c:v>1.3500000000000005</c:v>
                </c:pt>
                <c:pt idx="30">
                  <c:v>1.4000000000000006</c:v>
                </c:pt>
                <c:pt idx="31">
                  <c:v>1.4500000000000006</c:v>
                </c:pt>
                <c:pt idx="32">
                  <c:v>1.5000000000000007</c:v>
                </c:pt>
                <c:pt idx="33">
                  <c:v>1.5500000000000007</c:v>
                </c:pt>
                <c:pt idx="34">
                  <c:v>1.6000000000000008</c:v>
                </c:pt>
                <c:pt idx="35">
                  <c:v>1.6500000000000008</c:v>
                </c:pt>
                <c:pt idx="36">
                  <c:v>1.7000000000000008</c:v>
                </c:pt>
                <c:pt idx="37">
                  <c:v>1.7500000000000009</c:v>
                </c:pt>
                <c:pt idx="38">
                  <c:v>1.8000000000000009</c:v>
                </c:pt>
                <c:pt idx="39">
                  <c:v>1.850000000000001</c:v>
                </c:pt>
                <c:pt idx="40">
                  <c:v>1.900000000000001</c:v>
                </c:pt>
                <c:pt idx="41">
                  <c:v>1.9500000000000011</c:v>
                </c:pt>
                <c:pt idx="42">
                  <c:v>2.0000000000000009</c:v>
                </c:pt>
                <c:pt idx="43">
                  <c:v>2.0500000000000007</c:v>
                </c:pt>
                <c:pt idx="44">
                  <c:v>2.1000000000000005</c:v>
                </c:pt>
                <c:pt idx="45">
                  <c:v>2.1500000000000004</c:v>
                </c:pt>
                <c:pt idx="46">
                  <c:v>2.2000000000000002</c:v>
                </c:pt>
                <c:pt idx="47">
                  <c:v>2.25</c:v>
                </c:pt>
                <c:pt idx="48">
                  <c:v>2.2999999999999998</c:v>
                </c:pt>
                <c:pt idx="49">
                  <c:v>2.3499999999999996</c:v>
                </c:pt>
                <c:pt idx="50">
                  <c:v>2.3999999999999995</c:v>
                </c:pt>
                <c:pt idx="51">
                  <c:v>2.4499999999999993</c:v>
                </c:pt>
                <c:pt idx="52">
                  <c:v>2.4999999999999991</c:v>
                </c:pt>
                <c:pt idx="53">
                  <c:v>2.5499999999999989</c:v>
                </c:pt>
                <c:pt idx="54">
                  <c:v>2.5999999999999988</c:v>
                </c:pt>
                <c:pt idx="55">
                  <c:v>2.6499999999999986</c:v>
                </c:pt>
                <c:pt idx="56">
                  <c:v>2.6999999999999984</c:v>
                </c:pt>
                <c:pt idx="57">
                  <c:v>2.7499999999999982</c:v>
                </c:pt>
                <c:pt idx="58">
                  <c:v>2.799999999999998</c:v>
                </c:pt>
                <c:pt idx="59">
                  <c:v>2.8499999999999979</c:v>
                </c:pt>
                <c:pt idx="60">
                  <c:v>2.8999999999999977</c:v>
                </c:pt>
                <c:pt idx="61">
                  <c:v>2.9499999999999975</c:v>
                </c:pt>
                <c:pt idx="62">
                  <c:v>2.9999999999999973</c:v>
                </c:pt>
                <c:pt idx="63">
                  <c:v>3.0499999999999972</c:v>
                </c:pt>
                <c:pt idx="64">
                  <c:v>3.099999999999997</c:v>
                </c:pt>
                <c:pt idx="65">
                  <c:v>3.1499999999999968</c:v>
                </c:pt>
                <c:pt idx="66">
                  <c:v>3.1999999999999966</c:v>
                </c:pt>
                <c:pt idx="67">
                  <c:v>3.2499999999999964</c:v>
                </c:pt>
                <c:pt idx="68">
                  <c:v>3.2999999999999963</c:v>
                </c:pt>
                <c:pt idx="69">
                  <c:v>3.3499999999999961</c:v>
                </c:pt>
                <c:pt idx="70">
                  <c:v>3.3999999999999959</c:v>
                </c:pt>
                <c:pt idx="71">
                  <c:v>3.4499999999999957</c:v>
                </c:pt>
                <c:pt idx="72">
                  <c:v>3.4999999999999956</c:v>
                </c:pt>
                <c:pt idx="73">
                  <c:v>3.5499999999999954</c:v>
                </c:pt>
                <c:pt idx="74">
                  <c:v>3.5999999999999952</c:v>
                </c:pt>
                <c:pt idx="75">
                  <c:v>3.649999999999995</c:v>
                </c:pt>
                <c:pt idx="76">
                  <c:v>3.6999999999999948</c:v>
                </c:pt>
                <c:pt idx="77">
                  <c:v>3.7499999999999947</c:v>
                </c:pt>
                <c:pt idx="78">
                  <c:v>3.7999999999999945</c:v>
                </c:pt>
                <c:pt idx="79">
                  <c:v>3.8499999999999943</c:v>
                </c:pt>
                <c:pt idx="80">
                  <c:v>3.8999999999999941</c:v>
                </c:pt>
                <c:pt idx="81">
                  <c:v>3.949999999999994</c:v>
                </c:pt>
                <c:pt idx="82">
                  <c:v>3.9999999999999938</c:v>
                </c:pt>
                <c:pt idx="83">
                  <c:v>4.0499999999999936</c:v>
                </c:pt>
                <c:pt idx="84">
                  <c:v>4.0999999999999934</c:v>
                </c:pt>
                <c:pt idx="85">
                  <c:v>4.1499999999999932</c:v>
                </c:pt>
                <c:pt idx="86">
                  <c:v>4.1999999999999931</c:v>
                </c:pt>
                <c:pt idx="87">
                  <c:v>4.2499999999999929</c:v>
                </c:pt>
                <c:pt idx="88">
                  <c:v>4.2999999999999927</c:v>
                </c:pt>
                <c:pt idx="89">
                  <c:v>4.3499999999999925</c:v>
                </c:pt>
                <c:pt idx="90">
                  <c:v>4.3999999999999924</c:v>
                </c:pt>
                <c:pt idx="91">
                  <c:v>4.4499999999999922</c:v>
                </c:pt>
                <c:pt idx="92">
                  <c:v>4.499999999999992</c:v>
                </c:pt>
                <c:pt idx="93">
                  <c:v>4.5499999999999918</c:v>
                </c:pt>
                <c:pt idx="94">
                  <c:v>4.5999999999999917</c:v>
                </c:pt>
                <c:pt idx="95">
                  <c:v>4.6499999999999915</c:v>
                </c:pt>
                <c:pt idx="96">
                  <c:v>4.6999999999999913</c:v>
                </c:pt>
                <c:pt idx="97">
                  <c:v>4.7499999999999911</c:v>
                </c:pt>
                <c:pt idx="98">
                  <c:v>4.7999999999999909</c:v>
                </c:pt>
                <c:pt idx="99">
                  <c:v>4.8499999999999908</c:v>
                </c:pt>
                <c:pt idx="100">
                  <c:v>4.8999999999999906</c:v>
                </c:pt>
                <c:pt idx="101">
                  <c:v>4.9499999999999904</c:v>
                </c:pt>
                <c:pt idx="102">
                  <c:v>4.9999999999999902</c:v>
                </c:pt>
                <c:pt idx="103">
                  <c:v>5.0499999999999901</c:v>
                </c:pt>
                <c:pt idx="104">
                  <c:v>5.0999999999999899</c:v>
                </c:pt>
                <c:pt idx="105">
                  <c:v>5.1499999999999897</c:v>
                </c:pt>
                <c:pt idx="106">
                  <c:v>5.1999999999999895</c:v>
                </c:pt>
                <c:pt idx="107">
                  <c:v>5.2499999999999893</c:v>
                </c:pt>
                <c:pt idx="108">
                  <c:v>5.2999999999999892</c:v>
                </c:pt>
                <c:pt idx="109">
                  <c:v>5.349999999999989</c:v>
                </c:pt>
                <c:pt idx="110">
                  <c:v>5.3999999999999888</c:v>
                </c:pt>
                <c:pt idx="111">
                  <c:v>5.4499999999999886</c:v>
                </c:pt>
                <c:pt idx="112">
                  <c:v>5.4999999999999885</c:v>
                </c:pt>
                <c:pt idx="113">
                  <c:v>5.5499999999999883</c:v>
                </c:pt>
                <c:pt idx="114">
                  <c:v>5.5999999999999881</c:v>
                </c:pt>
                <c:pt idx="115">
                  <c:v>5.6499999999999879</c:v>
                </c:pt>
                <c:pt idx="116">
                  <c:v>5.6999999999999877</c:v>
                </c:pt>
                <c:pt idx="117">
                  <c:v>5.7499999999999876</c:v>
                </c:pt>
                <c:pt idx="118">
                  <c:v>5.7999999999999874</c:v>
                </c:pt>
                <c:pt idx="119">
                  <c:v>5.8499999999999872</c:v>
                </c:pt>
                <c:pt idx="120">
                  <c:v>5.899999999999987</c:v>
                </c:pt>
                <c:pt idx="121">
                  <c:v>5.9499999999999869</c:v>
                </c:pt>
                <c:pt idx="122">
                  <c:v>5.9999999999999867</c:v>
                </c:pt>
                <c:pt idx="123">
                  <c:v>6.0499999999999865</c:v>
                </c:pt>
                <c:pt idx="124">
                  <c:v>6.0999999999999863</c:v>
                </c:pt>
                <c:pt idx="125">
                  <c:v>6.1499999999999861</c:v>
                </c:pt>
                <c:pt idx="126">
                  <c:v>6.199999999999986</c:v>
                </c:pt>
                <c:pt idx="127">
                  <c:v>6.2499999999999858</c:v>
                </c:pt>
                <c:pt idx="128">
                  <c:v>6.2999999999999856</c:v>
                </c:pt>
                <c:pt idx="129">
                  <c:v>6.3499999999999854</c:v>
                </c:pt>
                <c:pt idx="130">
                  <c:v>6.3999999999999853</c:v>
                </c:pt>
                <c:pt idx="131">
                  <c:v>6.4499999999999851</c:v>
                </c:pt>
                <c:pt idx="132">
                  <c:v>6.4999999999999849</c:v>
                </c:pt>
                <c:pt idx="133">
                  <c:v>6.5499999999999847</c:v>
                </c:pt>
                <c:pt idx="134">
                  <c:v>6.5999999999999845</c:v>
                </c:pt>
                <c:pt idx="135">
                  <c:v>6.6499999999999844</c:v>
                </c:pt>
                <c:pt idx="136">
                  <c:v>6.6999999999999842</c:v>
                </c:pt>
                <c:pt idx="137">
                  <c:v>6.749999999999984</c:v>
                </c:pt>
                <c:pt idx="138">
                  <c:v>6.7999999999999838</c:v>
                </c:pt>
                <c:pt idx="139">
                  <c:v>6.8499999999999837</c:v>
                </c:pt>
                <c:pt idx="140">
                  <c:v>6.8999999999999835</c:v>
                </c:pt>
                <c:pt idx="141">
                  <c:v>6.9499999999999833</c:v>
                </c:pt>
                <c:pt idx="142">
                  <c:v>6.9999999999999831</c:v>
                </c:pt>
                <c:pt idx="143">
                  <c:v>7.0499999999999829</c:v>
                </c:pt>
                <c:pt idx="144">
                  <c:v>7.0999999999999828</c:v>
                </c:pt>
                <c:pt idx="145">
                  <c:v>7.1499999999999826</c:v>
                </c:pt>
                <c:pt idx="146">
                  <c:v>7.1999999999999824</c:v>
                </c:pt>
                <c:pt idx="147">
                  <c:v>7.2499999999999822</c:v>
                </c:pt>
                <c:pt idx="148">
                  <c:v>7.2999999999999821</c:v>
                </c:pt>
                <c:pt idx="149">
                  <c:v>7.3499999999999819</c:v>
                </c:pt>
                <c:pt idx="150">
                  <c:v>7.3999999999999817</c:v>
                </c:pt>
                <c:pt idx="151">
                  <c:v>7.4499999999999815</c:v>
                </c:pt>
                <c:pt idx="152">
                  <c:v>7.4999999999999813</c:v>
                </c:pt>
                <c:pt idx="153">
                  <c:v>7.5499999999999812</c:v>
                </c:pt>
                <c:pt idx="154">
                  <c:v>7.599999999999981</c:v>
                </c:pt>
                <c:pt idx="155">
                  <c:v>7.6499999999999808</c:v>
                </c:pt>
                <c:pt idx="156">
                  <c:v>7.6999999999999806</c:v>
                </c:pt>
                <c:pt idx="157">
                  <c:v>7.7499999999999805</c:v>
                </c:pt>
                <c:pt idx="158">
                  <c:v>7.7999999999999803</c:v>
                </c:pt>
                <c:pt idx="159">
                  <c:v>7.8499999999999801</c:v>
                </c:pt>
                <c:pt idx="160">
                  <c:v>7.8999999999999799</c:v>
                </c:pt>
                <c:pt idx="161">
                  <c:v>7.9499999999999797</c:v>
                </c:pt>
                <c:pt idx="162">
                  <c:v>7.9999999999999796</c:v>
                </c:pt>
                <c:pt idx="163">
                  <c:v>8.0499999999999794</c:v>
                </c:pt>
                <c:pt idx="164">
                  <c:v>8.0999999999999801</c:v>
                </c:pt>
                <c:pt idx="165">
                  <c:v>8.1499999999999808</c:v>
                </c:pt>
                <c:pt idx="166">
                  <c:v>8.1999999999999815</c:v>
                </c:pt>
                <c:pt idx="167">
                  <c:v>8.2499999999999822</c:v>
                </c:pt>
                <c:pt idx="168">
                  <c:v>8.2999999999999829</c:v>
                </c:pt>
                <c:pt idx="169">
                  <c:v>8.3499999999999837</c:v>
                </c:pt>
                <c:pt idx="170">
                  <c:v>8.3999999999999844</c:v>
                </c:pt>
                <c:pt idx="171">
                  <c:v>8.4499999999999851</c:v>
                </c:pt>
                <c:pt idx="172">
                  <c:v>8.4999999999999858</c:v>
                </c:pt>
                <c:pt idx="173">
                  <c:v>8.5499999999999865</c:v>
                </c:pt>
                <c:pt idx="174">
                  <c:v>8.5999999999999872</c:v>
                </c:pt>
                <c:pt idx="175">
                  <c:v>8.6499999999999879</c:v>
                </c:pt>
                <c:pt idx="176">
                  <c:v>8.6999999999999886</c:v>
                </c:pt>
                <c:pt idx="177">
                  <c:v>8.7499999999999893</c:v>
                </c:pt>
                <c:pt idx="178">
                  <c:v>8.7999999999999901</c:v>
                </c:pt>
                <c:pt idx="179">
                  <c:v>8.8499999999999908</c:v>
                </c:pt>
                <c:pt idx="180">
                  <c:v>8.8999999999999915</c:v>
                </c:pt>
                <c:pt idx="181">
                  <c:v>8.9499999999999922</c:v>
                </c:pt>
                <c:pt idx="182">
                  <c:v>8.9999999999999929</c:v>
                </c:pt>
                <c:pt idx="183">
                  <c:v>9.0499999999999936</c:v>
                </c:pt>
                <c:pt idx="184">
                  <c:v>9.0999999999999943</c:v>
                </c:pt>
                <c:pt idx="185">
                  <c:v>9.149999999999995</c:v>
                </c:pt>
                <c:pt idx="186">
                  <c:v>9.1999999999999957</c:v>
                </c:pt>
                <c:pt idx="187">
                  <c:v>9.2499999999999964</c:v>
                </c:pt>
                <c:pt idx="188">
                  <c:v>9.2999999999999972</c:v>
                </c:pt>
                <c:pt idx="189">
                  <c:v>9.3499999999999979</c:v>
                </c:pt>
                <c:pt idx="190">
                  <c:v>9.3999999999999986</c:v>
                </c:pt>
                <c:pt idx="191">
                  <c:v>9.4499999999999993</c:v>
                </c:pt>
                <c:pt idx="192">
                  <c:v>9.5</c:v>
                </c:pt>
                <c:pt idx="193">
                  <c:v>9.5500000000000007</c:v>
                </c:pt>
                <c:pt idx="194">
                  <c:v>9.6000000000000014</c:v>
                </c:pt>
                <c:pt idx="195">
                  <c:v>9.6500000000000021</c:v>
                </c:pt>
                <c:pt idx="196">
                  <c:v>9.7000000000000028</c:v>
                </c:pt>
                <c:pt idx="197">
                  <c:v>9.7500000000000036</c:v>
                </c:pt>
                <c:pt idx="198">
                  <c:v>9.8000000000000043</c:v>
                </c:pt>
                <c:pt idx="199">
                  <c:v>9.850000000000005</c:v>
                </c:pt>
                <c:pt idx="200">
                  <c:v>9.9000000000000057</c:v>
                </c:pt>
                <c:pt idx="201">
                  <c:v>9.9500000000000064</c:v>
                </c:pt>
                <c:pt idx="202">
                  <c:v>10.000000000000007</c:v>
                </c:pt>
              </c:numCache>
            </c:numRef>
          </c:xVal>
          <c:yVal>
            <c:numRef>
              <c:f>'Spreadsheet10.3 (new)'!$G$11:$G$213</c:f>
              <c:numCache>
                <c:formatCode>0.00%</c:formatCode>
                <c:ptCount val="203"/>
                <c:pt idx="1">
                  <c:v>1.4460839666752268E-3</c:v>
                </c:pt>
                <c:pt idx="2">
                  <c:v>2.9544547383316688E-3</c:v>
                </c:pt>
                <c:pt idx="3">
                  <c:v>4.5254052428601588E-3</c:v>
                </c:pt>
                <c:pt idx="4">
                  <c:v>6.1591700239019831E-3</c:v>
                </c:pt>
                <c:pt idx="5">
                  <c:v>6.1591700239019831E-3</c:v>
                </c:pt>
                <c:pt idx="6">
                  <c:v>7.8559253399973494E-3</c:v>
                </c:pt>
                <c:pt idx="7">
                  <c:v>7.8559253399973494E-3</c:v>
                </c:pt>
                <c:pt idx="8">
                  <c:v>9.6157893087800428E-3</c:v>
                </c:pt>
                <c:pt idx="9">
                  <c:v>1.143882209667435E-2</c:v>
                </c:pt>
                <c:pt idx="10">
                  <c:v>1.3325026154438202E-2</c:v>
                </c:pt>
                <c:pt idx="11">
                  <c:v>1.5274346498785007E-2</c:v>
                </c:pt>
                <c:pt idx="12">
                  <c:v>1.7286671040206314E-2</c:v>
                </c:pt>
                <c:pt idx="13">
                  <c:v>1.9361830957004389E-2</c:v>
                </c:pt>
                <c:pt idx="14">
                  <c:v>2.149960111543503E-2</c:v>
                </c:pt>
                <c:pt idx="15">
                  <c:v>2.3699700535750656E-2</c:v>
                </c:pt>
                <c:pt idx="16">
                  <c:v>2.596179290382461E-2</c:v>
                </c:pt>
                <c:pt idx="17">
                  <c:v>2.8285487127930997E-2</c:v>
                </c:pt>
                <c:pt idx="18">
                  <c:v>3.0670337940147618E-2</c:v>
                </c:pt>
                <c:pt idx="19">
                  <c:v>3.3115846541746929E-2</c:v>
                </c:pt>
                <c:pt idx="20">
                  <c:v>3.5621461291835521E-2</c:v>
                </c:pt>
                <c:pt idx="21">
                  <c:v>3.8186578438405672E-2</c:v>
                </c:pt>
                <c:pt idx="22">
                  <c:v>4.0810542890861834E-2</c:v>
                </c:pt>
                <c:pt idx="23">
                  <c:v>4.3492649032991992E-2</c:v>
                </c:pt>
                <c:pt idx="24">
                  <c:v>4.6232141575261343E-2</c:v>
                </c:pt>
                <c:pt idx="25">
                  <c:v>4.9028216445215933E-2</c:v>
                </c:pt>
                <c:pt idx="26">
                  <c:v>5.1880021714698632E-2</c:v>
                </c:pt>
                <c:pt idx="27">
                  <c:v>5.4786658562496537E-2</c:v>
                </c:pt>
                <c:pt idx="28">
                  <c:v>5.7747182270960096E-2</c:v>
                </c:pt>
                <c:pt idx="29">
                  <c:v>6.0760603255059609E-2</c:v>
                </c:pt>
                <c:pt idx="30">
                  <c:v>6.3825888122270968E-2</c:v>
                </c:pt>
                <c:pt idx="31">
                  <c:v>6.6941960761617181E-2</c:v>
                </c:pt>
                <c:pt idx="32">
                  <c:v>7.0107703460126847E-2</c:v>
                </c:pt>
                <c:pt idx="33">
                  <c:v>7.3321958044912039E-2</c:v>
                </c:pt>
                <c:pt idx="34">
                  <c:v>7.6583527049012501E-2</c:v>
                </c:pt>
                <c:pt idx="35">
                  <c:v>7.9891174899101802E-2</c:v>
                </c:pt>
                <c:pt idx="36">
                  <c:v>8.3243629123104901E-2</c:v>
                </c:pt>
                <c:pt idx="37">
                  <c:v>8.6639581575735036E-2</c:v>
                </c:pt>
                <c:pt idx="38">
                  <c:v>9.0077689679917139E-2</c:v>
                </c:pt>
                <c:pt idx="39">
                  <c:v>9.3556577682035513E-2</c:v>
                </c:pt>
                <c:pt idx="40">
                  <c:v>9.7074837918913137E-2</c:v>
                </c:pt>
                <c:pt idx="41">
                  <c:v>0.10063103209440294</c:v>
                </c:pt>
                <c:pt idx="42">
                  <c:v>0.10422369256345754</c:v>
                </c:pt>
                <c:pt idx="43">
                  <c:v>0.1078513236215205</c:v>
                </c:pt>
                <c:pt idx="44">
                  <c:v>0.11151240279707886</c:v>
                </c:pt>
                <c:pt idx="45">
                  <c:v>0.11520538214520248</c:v>
                </c:pt>
                <c:pt idx="46">
                  <c:v>0.11892868953989999</c:v>
                </c:pt>
                <c:pt idx="47">
                  <c:v>0.1226807299631153</c:v>
                </c:pt>
                <c:pt idx="48">
                  <c:v>0.1264598867881993</c:v>
                </c:pt>
                <c:pt idx="49">
                  <c:v>0.13026452305569924</c:v>
                </c:pt>
                <c:pt idx="50">
                  <c:v>0.13409298273931747</c:v>
                </c:pt>
                <c:pt idx="51">
                  <c:v>0.13794359199991468</c:v>
                </c:pt>
                <c:pt idx="52">
                  <c:v>0.14181466042544422</c:v>
                </c:pt>
                <c:pt idx="53">
                  <c:v>0.14570448225473542</c:v>
                </c:pt>
                <c:pt idx="54">
                  <c:v>0.14961133758306255</c:v>
                </c:pt>
                <c:pt idx="55">
                  <c:v>0.15353349354747059</c:v>
                </c:pt>
                <c:pt idx="56">
                  <c:v>0.15746920548985777</c:v>
                </c:pt>
                <c:pt idx="57">
                  <c:v>0.16141671809584957</c:v>
                </c:pt>
                <c:pt idx="58">
                  <c:v>0.16537426650753573</c:v>
                </c:pt>
                <c:pt idx="59">
                  <c:v>0.16934007740818025</c:v>
                </c:pt>
                <c:pt idx="60">
                  <c:v>0.17331237007705269</c:v>
                </c:pt>
                <c:pt idx="61">
                  <c:v>0.17728935741257523</c:v>
                </c:pt>
                <c:pt idx="62">
                  <c:v>0.18126924692201773</c:v>
                </c:pt>
                <c:pt idx="63">
                  <c:v>0.18525045563405751</c:v>
                </c:pt>
                <c:pt idx="64">
                  <c:v>0.18923227449740621</c:v>
                </c:pt>
                <c:pt idx="65">
                  <c:v>0.19321425685938198</c:v>
                </c:pt>
                <c:pt idx="66">
                  <c:v>0.19719601253543806</c:v>
                </c:pt>
                <c:pt idx="67">
                  <c:v>0.20117720207170853</c:v>
                </c:pt>
                <c:pt idx="68">
                  <c:v>0.20515753935284575</c:v>
                </c:pt>
                <c:pt idx="69">
                  <c:v>0.20913678864763141</c:v>
                </c:pt>
                <c:pt idx="70">
                  <c:v>0.21311476241142646</c:v>
                </c:pt>
                <c:pt idx="71">
                  <c:v>0.21709132280220689</c:v>
                </c:pt>
                <c:pt idx="72">
                  <c:v>0.22106637762156511</c:v>
                </c:pt>
                <c:pt idx="73">
                  <c:v>0.22503988146279352</c:v>
                </c:pt>
                <c:pt idx="74">
                  <c:v>0.22901183339625952</c:v>
                </c:pt>
                <c:pt idx="75">
                  <c:v>0.23298227537293359</c:v>
                </c:pt>
                <c:pt idx="76">
                  <c:v>0.23695129234304202</c:v>
                </c:pt>
                <c:pt idx="77">
                  <c:v>0.24091900979409375</c:v>
                </c:pt>
                <c:pt idx="78">
                  <c:v>0.24488560082621857</c:v>
                </c:pt>
                <c:pt idx="79">
                  <c:v>0.24885124796179003</c:v>
                </c:pt>
                <c:pt idx="80">
                  <c:v>0.2528162150668728</c:v>
                </c:pt>
                <c:pt idx="81">
                  <c:v>0.25678076575309394</c:v>
                </c:pt>
                <c:pt idx="82">
                  <c:v>0.26074523617935996</c:v>
                </c:pt>
                <c:pt idx="83">
                  <c:v>0.26470995156530897</c:v>
                </c:pt>
                <c:pt idx="84">
                  <c:v>0.26867530002832274</c:v>
                </c:pt>
                <c:pt idx="85">
                  <c:v>0.27264169399933114</c:v>
                </c:pt>
                <c:pt idx="86">
                  <c:v>0.27660957617953119</c:v>
                </c:pt>
                <c:pt idx="87">
                  <c:v>0.28057941888976534</c:v>
                </c:pt>
                <c:pt idx="88">
                  <c:v>0.28455172254815919</c:v>
                </c:pt>
                <c:pt idx="89">
                  <c:v>0.28852701456292817</c:v>
                </c:pt>
                <c:pt idx="90">
                  <c:v>0.2925058522537225</c:v>
                </c:pt>
                <c:pt idx="91">
                  <c:v>0.29648880124540211</c:v>
                </c:pt>
                <c:pt idx="92">
                  <c:v>0.30047647475213424</c:v>
                </c:pt>
                <c:pt idx="93">
                  <c:v>0.30446949218673602</c:v>
                </c:pt>
                <c:pt idx="94">
                  <c:v>0.30846849797186393</c:v>
                </c:pt>
                <c:pt idx="95">
                  <c:v>0.31247415596843875</c:v>
                </c:pt>
                <c:pt idx="96">
                  <c:v>0.31648715094587176</c:v>
                </c:pt>
                <c:pt idx="97">
                  <c:v>0.32050817633382345</c:v>
                </c:pt>
                <c:pt idx="98">
                  <c:v>0.32453795413787767</c:v>
                </c:pt>
                <c:pt idx="99">
                  <c:v>0.3285772137092281</c:v>
                </c:pt>
                <c:pt idx="100">
                  <c:v>0.33262669571965653</c:v>
                </c:pt>
                <c:pt idx="101">
                  <c:v>0.33668715921122705</c:v>
                </c:pt>
                <c:pt idx="102">
                  <c:v>0.34075936979955412</c:v>
                </c:pt>
                <c:pt idx="103">
                  <c:v>0.34484382460718199</c:v>
                </c:pt>
                <c:pt idx="104">
                  <c:v>0.3489399038012192</c:v>
                </c:pt>
                <c:pt idx="105">
                  <c:v>0.35304669530287169</c:v>
                </c:pt>
                <c:pt idx="106">
                  <c:v>0.35716327048522167</c:v>
                </c:pt>
                <c:pt idx="107">
                  <c:v>0.36128868752544063</c:v>
                </c:pt>
                <c:pt idx="108">
                  <c:v>0.36542199047752955</c:v>
                </c:pt>
                <c:pt idx="109">
                  <c:v>0.36956221118365118</c:v>
                </c:pt>
                <c:pt idx="110">
                  <c:v>0.37370837076663554</c:v>
                </c:pt>
                <c:pt idx="111">
                  <c:v>0.37785947927687336</c:v>
                </c:pt>
                <c:pt idx="112">
                  <c:v>0.38201453809553509</c:v>
                </c:pt>
                <c:pt idx="113">
                  <c:v>0.38617253975613852</c:v>
                </c:pt>
                <c:pt idx="114">
                  <c:v>0.39033246946198874</c:v>
                </c:pt>
                <c:pt idx="115">
                  <c:v>0.3944933062271283</c:v>
                </c:pt>
                <c:pt idx="116">
                  <c:v>0.39865402318487075</c:v>
                </c:pt>
                <c:pt idx="117">
                  <c:v>0.40281358911970422</c:v>
                </c:pt>
                <c:pt idx="118">
                  <c:v>0.40697096891353302</c:v>
                </c:pt>
                <c:pt idx="119">
                  <c:v>0.41112512468050899</c:v>
                </c:pt>
                <c:pt idx="120">
                  <c:v>0.41527501657399879</c:v>
                </c:pt>
                <c:pt idx="121">
                  <c:v>0.41941960362572273</c:v>
                </c:pt>
                <c:pt idx="122">
                  <c:v>0.42355784449935241</c:v>
                </c:pt>
                <c:pt idx="123">
                  <c:v>0.42768869845909907</c:v>
                </c:pt>
                <c:pt idx="124">
                  <c:v>0.43181112599111948</c:v>
                </c:pt>
                <c:pt idx="125">
                  <c:v>0.43592408960085394</c:v>
                </c:pt>
                <c:pt idx="126">
                  <c:v>0.44002655469783825</c:v>
                </c:pt>
                <c:pt idx="127">
                  <c:v>0.44411749006949197</c:v>
                </c:pt>
                <c:pt idx="128">
                  <c:v>0.44819586872016026</c:v>
                </c:pt>
                <c:pt idx="129">
                  <c:v>0.45226066849541291</c:v>
                </c:pt>
                <c:pt idx="130">
                  <c:v>0.45631087264817516</c:v>
                </c:pt>
                <c:pt idx="131">
                  <c:v>0.46034547071423926</c:v>
                </c:pt>
                <c:pt idx="132">
                  <c:v>0.464363458695364</c:v>
                </c:pt>
                <c:pt idx="133">
                  <c:v>0.46836383986989039</c:v>
                </c:pt>
                <c:pt idx="134">
                  <c:v>0.47234562521007639</c:v>
                </c:pt>
                <c:pt idx="135">
                  <c:v>0.47630783403796861</c:v>
                </c:pt>
                <c:pt idx="136">
                  <c:v>0.48024949420246754</c:v>
                </c:pt>
                <c:pt idx="137">
                  <c:v>0.48416964284547315</c:v>
                </c:pt>
                <c:pt idx="138">
                  <c:v>0.4880673264837565</c:v>
                </c:pt>
                <c:pt idx="139">
                  <c:v>0.49194160161864287</c:v>
                </c:pt>
                <c:pt idx="140">
                  <c:v>0.49579153497897643</c:v>
                </c:pt>
                <c:pt idx="141">
                  <c:v>0.49961620381126659</c:v>
                </c:pt>
                <c:pt idx="142">
                  <c:v>0.50341469620858725</c:v>
                </c:pt>
                <c:pt idx="143">
                  <c:v>0.50718627669334215</c:v>
                </c:pt>
                <c:pt idx="144">
                  <c:v>0.51093088469122194</c:v>
                </c:pt>
                <c:pt idx="145">
                  <c:v>0.51464863085112156</c:v>
                </c:pt>
                <c:pt idx="146">
                  <c:v>0.5183396379005627</c:v>
                </c:pt>
                <c:pt idx="147">
                  <c:v>0.5220040358057767</c:v>
                </c:pt>
                <c:pt idx="148">
                  <c:v>0.52564196345314551</c:v>
                </c:pt>
                <c:pt idx="149">
                  <c:v>0.52925356485277464</c:v>
                </c:pt>
                <c:pt idx="150">
                  <c:v>0.53283899414017177</c:v>
                </c:pt>
                <c:pt idx="151">
                  <c:v>0.53639841168267499</c:v>
                </c:pt>
                <c:pt idx="152">
                  <c:v>0.53993198534615949</c:v>
                </c:pt>
                <c:pt idx="153">
                  <c:v>0.54343988756950024</c:v>
                </c:pt>
                <c:pt idx="154">
                  <c:v>0.54692229911828272</c:v>
                </c:pt>
                <c:pt idx="155">
                  <c:v>0.55037942356449854</c:v>
                </c:pt>
                <c:pt idx="156">
                  <c:v>0.55381140069715318</c:v>
                </c:pt>
                <c:pt idx="157">
                  <c:v>0.55721847934508428</c:v>
                </c:pt>
                <c:pt idx="158">
                  <c:v>0.56060084503604513</c:v>
                </c:pt>
                <c:pt idx="159">
                  <c:v>0.56395868817494532</c:v>
                </c:pt>
                <c:pt idx="160">
                  <c:v>0.56729227252995318</c:v>
                </c:pt>
                <c:pt idx="161">
                  <c:v>0.57060176294551701</c:v>
                </c:pt>
                <c:pt idx="162">
                  <c:v>0.57388739779595233</c:v>
                </c:pt>
                <c:pt idx="163">
                  <c:v>0.5771494022289394</c:v>
                </c:pt>
                <c:pt idx="164">
                  <c:v>0.58038800468330165</c:v>
                </c:pt>
                <c:pt idx="165">
                  <c:v>0.58360343773164958</c:v>
                </c:pt>
                <c:pt idx="166">
                  <c:v>0.58679593712012823</c:v>
                </c:pt>
                <c:pt idx="167">
                  <c:v>0.58996574176876937</c:v>
                </c:pt>
                <c:pt idx="168">
                  <c:v>0.59311309348516406</c:v>
                </c:pt>
                <c:pt idx="169">
                  <c:v>0.59623823694042866</c:v>
                </c:pt>
                <c:pt idx="170">
                  <c:v>0.59934143644049265</c:v>
                </c:pt>
                <c:pt idx="171">
                  <c:v>0.60242289007686745</c:v>
                </c:pt>
                <c:pt idx="172">
                  <c:v>0.60548290115441517</c:v>
                </c:pt>
                <c:pt idx="173">
                  <c:v>0.60852170613670331</c:v>
                </c:pt>
                <c:pt idx="174">
                  <c:v>0.61153956076444671</c:v>
                </c:pt>
                <c:pt idx="175">
                  <c:v>0.61453672208578469</c:v>
                </c:pt>
                <c:pt idx="176">
                  <c:v>0.61751344903165006</c:v>
                </c:pt>
                <c:pt idx="177">
                  <c:v>0.62047000139704989</c:v>
                </c:pt>
                <c:pt idx="178">
                  <c:v>0.62340664063225637</c:v>
                </c:pt>
                <c:pt idx="179">
                  <c:v>0.62632362863111224</c:v>
                </c:pt>
                <c:pt idx="180">
                  <c:v>0.62922122872046127</c:v>
                </c:pt>
                <c:pt idx="181">
                  <c:v>0.6320997042721257</c:v>
                </c:pt>
                <c:pt idx="182">
                  <c:v>0.63495931987311116</c:v>
                </c:pt>
                <c:pt idx="183">
                  <c:v>0.63780033977780648</c:v>
                </c:pt>
                <c:pt idx="184">
                  <c:v>0.64062302924162406</c:v>
                </c:pt>
                <c:pt idx="185">
                  <c:v>0.64342765282986236</c:v>
                </c:pt>
                <c:pt idx="186">
                  <c:v>0.64621448417504257</c:v>
                </c:pt>
                <c:pt idx="187">
                  <c:v>0.64898376277148673</c:v>
                </c:pt>
                <c:pt idx="188">
                  <c:v>0.65173577824164064</c:v>
                </c:pt>
                <c:pt idx="189">
                  <c:v>0.65447078621904908</c:v>
                </c:pt>
                <c:pt idx="190">
                  <c:v>0.65718905016131823</c:v>
                </c:pt>
                <c:pt idx="191">
                  <c:v>0.65989083283560968</c:v>
                </c:pt>
                <c:pt idx="192">
                  <c:v>0.66257639619458675</c:v>
                </c:pt>
                <c:pt idx="193">
                  <c:v>0.66524600125444389</c:v>
                </c:pt>
                <c:pt idx="194">
                  <c:v>0.66789991202889287</c:v>
                </c:pt>
                <c:pt idx="195">
                  <c:v>0.67053837507533176</c:v>
                </c:pt>
                <c:pt idx="196">
                  <c:v>0.67316166018164991</c:v>
                </c:pt>
                <c:pt idx="197">
                  <c:v>0.67577001931801817</c:v>
                </c:pt>
                <c:pt idx="198">
                  <c:v>0.67836370906003673</c:v>
                </c:pt>
                <c:pt idx="199">
                  <c:v>0.68094297630454848</c:v>
                </c:pt>
                <c:pt idx="200">
                  <c:v>0.68350807933122404</c:v>
                </c:pt>
                <c:pt idx="201">
                  <c:v>0.686059262951489</c:v>
                </c:pt>
                <c:pt idx="202">
                  <c:v>0.68859677608540271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10-4547-B6E8-8C6A3B3AE2F2}"/>
            </c:ext>
          </c:extLst>
        </c:ser>
        <c:ser>
          <c:idx val="1"/>
          <c:order val="1"/>
          <c:tx>
            <c:strRef>
              <c:f>'Spreadsheet10.3 (new)'!$H$10</c:f>
              <c:strCache>
                <c:ptCount val="1"/>
                <c:pt idx="0">
                  <c:v>Flat curve</c:v>
                </c:pt>
              </c:strCache>
            </c:strRef>
          </c:tx>
          <c:marker>
            <c:symbol val="none"/>
          </c:marker>
          <c:xVal>
            <c:numRef>
              <c:f>'Spreadsheet10.3 (new)'!$E$11:$E$213</c:f>
              <c:numCache>
                <c:formatCode>0.00</c:formatCode>
                <c:ptCount val="203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</c:v>
                </c:pt>
                <c:pt idx="6">
                  <c:v>0.25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1.0000000000000002</c:v>
                </c:pt>
                <c:pt idx="23">
                  <c:v>1.0500000000000003</c:v>
                </c:pt>
                <c:pt idx="24">
                  <c:v>1.1000000000000003</c:v>
                </c:pt>
                <c:pt idx="25">
                  <c:v>1.1500000000000004</c:v>
                </c:pt>
                <c:pt idx="26">
                  <c:v>1.2000000000000004</c:v>
                </c:pt>
                <c:pt idx="27">
                  <c:v>1.2500000000000004</c:v>
                </c:pt>
                <c:pt idx="28">
                  <c:v>1.3000000000000005</c:v>
                </c:pt>
                <c:pt idx="29">
                  <c:v>1.3500000000000005</c:v>
                </c:pt>
                <c:pt idx="30">
                  <c:v>1.4000000000000006</c:v>
                </c:pt>
                <c:pt idx="31">
                  <c:v>1.4500000000000006</c:v>
                </c:pt>
                <c:pt idx="32">
                  <c:v>1.5000000000000007</c:v>
                </c:pt>
                <c:pt idx="33">
                  <c:v>1.5500000000000007</c:v>
                </c:pt>
                <c:pt idx="34">
                  <c:v>1.6000000000000008</c:v>
                </c:pt>
                <c:pt idx="35">
                  <c:v>1.6500000000000008</c:v>
                </c:pt>
                <c:pt idx="36">
                  <c:v>1.7000000000000008</c:v>
                </c:pt>
                <c:pt idx="37">
                  <c:v>1.7500000000000009</c:v>
                </c:pt>
                <c:pt idx="38">
                  <c:v>1.8000000000000009</c:v>
                </c:pt>
                <c:pt idx="39">
                  <c:v>1.850000000000001</c:v>
                </c:pt>
                <c:pt idx="40">
                  <c:v>1.900000000000001</c:v>
                </c:pt>
                <c:pt idx="41">
                  <c:v>1.9500000000000011</c:v>
                </c:pt>
                <c:pt idx="42">
                  <c:v>2.0000000000000009</c:v>
                </c:pt>
                <c:pt idx="43">
                  <c:v>2.0500000000000007</c:v>
                </c:pt>
                <c:pt idx="44">
                  <c:v>2.1000000000000005</c:v>
                </c:pt>
                <c:pt idx="45">
                  <c:v>2.1500000000000004</c:v>
                </c:pt>
                <c:pt idx="46">
                  <c:v>2.2000000000000002</c:v>
                </c:pt>
                <c:pt idx="47">
                  <c:v>2.25</c:v>
                </c:pt>
                <c:pt idx="48">
                  <c:v>2.2999999999999998</c:v>
                </c:pt>
                <c:pt idx="49">
                  <c:v>2.3499999999999996</c:v>
                </c:pt>
                <c:pt idx="50">
                  <c:v>2.3999999999999995</c:v>
                </c:pt>
                <c:pt idx="51">
                  <c:v>2.4499999999999993</c:v>
                </c:pt>
                <c:pt idx="52">
                  <c:v>2.4999999999999991</c:v>
                </c:pt>
                <c:pt idx="53">
                  <c:v>2.5499999999999989</c:v>
                </c:pt>
                <c:pt idx="54">
                  <c:v>2.5999999999999988</c:v>
                </c:pt>
                <c:pt idx="55">
                  <c:v>2.6499999999999986</c:v>
                </c:pt>
                <c:pt idx="56">
                  <c:v>2.6999999999999984</c:v>
                </c:pt>
                <c:pt idx="57">
                  <c:v>2.7499999999999982</c:v>
                </c:pt>
                <c:pt idx="58">
                  <c:v>2.799999999999998</c:v>
                </c:pt>
                <c:pt idx="59">
                  <c:v>2.8499999999999979</c:v>
                </c:pt>
                <c:pt idx="60">
                  <c:v>2.8999999999999977</c:v>
                </c:pt>
                <c:pt idx="61">
                  <c:v>2.9499999999999975</c:v>
                </c:pt>
                <c:pt idx="62">
                  <c:v>2.9999999999999973</c:v>
                </c:pt>
                <c:pt idx="63">
                  <c:v>3.0499999999999972</c:v>
                </c:pt>
                <c:pt idx="64">
                  <c:v>3.099999999999997</c:v>
                </c:pt>
                <c:pt idx="65">
                  <c:v>3.1499999999999968</c:v>
                </c:pt>
                <c:pt idx="66">
                  <c:v>3.1999999999999966</c:v>
                </c:pt>
                <c:pt idx="67">
                  <c:v>3.2499999999999964</c:v>
                </c:pt>
                <c:pt idx="68">
                  <c:v>3.2999999999999963</c:v>
                </c:pt>
                <c:pt idx="69">
                  <c:v>3.3499999999999961</c:v>
                </c:pt>
                <c:pt idx="70">
                  <c:v>3.3999999999999959</c:v>
                </c:pt>
                <c:pt idx="71">
                  <c:v>3.4499999999999957</c:v>
                </c:pt>
                <c:pt idx="72">
                  <c:v>3.4999999999999956</c:v>
                </c:pt>
                <c:pt idx="73">
                  <c:v>3.5499999999999954</c:v>
                </c:pt>
                <c:pt idx="74">
                  <c:v>3.5999999999999952</c:v>
                </c:pt>
                <c:pt idx="75">
                  <c:v>3.649999999999995</c:v>
                </c:pt>
                <c:pt idx="76">
                  <c:v>3.6999999999999948</c:v>
                </c:pt>
                <c:pt idx="77">
                  <c:v>3.7499999999999947</c:v>
                </c:pt>
                <c:pt idx="78">
                  <c:v>3.7999999999999945</c:v>
                </c:pt>
                <c:pt idx="79">
                  <c:v>3.8499999999999943</c:v>
                </c:pt>
                <c:pt idx="80">
                  <c:v>3.8999999999999941</c:v>
                </c:pt>
                <c:pt idx="81">
                  <c:v>3.949999999999994</c:v>
                </c:pt>
                <c:pt idx="82">
                  <c:v>3.9999999999999938</c:v>
                </c:pt>
                <c:pt idx="83">
                  <c:v>4.0499999999999936</c:v>
                </c:pt>
                <c:pt idx="84">
                  <c:v>4.0999999999999934</c:v>
                </c:pt>
                <c:pt idx="85">
                  <c:v>4.1499999999999932</c:v>
                </c:pt>
                <c:pt idx="86">
                  <c:v>4.1999999999999931</c:v>
                </c:pt>
                <c:pt idx="87">
                  <c:v>4.2499999999999929</c:v>
                </c:pt>
                <c:pt idx="88">
                  <c:v>4.2999999999999927</c:v>
                </c:pt>
                <c:pt idx="89">
                  <c:v>4.3499999999999925</c:v>
                </c:pt>
                <c:pt idx="90">
                  <c:v>4.3999999999999924</c:v>
                </c:pt>
                <c:pt idx="91">
                  <c:v>4.4499999999999922</c:v>
                </c:pt>
                <c:pt idx="92">
                  <c:v>4.499999999999992</c:v>
                </c:pt>
                <c:pt idx="93">
                  <c:v>4.5499999999999918</c:v>
                </c:pt>
                <c:pt idx="94">
                  <c:v>4.5999999999999917</c:v>
                </c:pt>
                <c:pt idx="95">
                  <c:v>4.6499999999999915</c:v>
                </c:pt>
                <c:pt idx="96">
                  <c:v>4.6999999999999913</c:v>
                </c:pt>
                <c:pt idx="97">
                  <c:v>4.7499999999999911</c:v>
                </c:pt>
                <c:pt idx="98">
                  <c:v>4.7999999999999909</c:v>
                </c:pt>
                <c:pt idx="99">
                  <c:v>4.8499999999999908</c:v>
                </c:pt>
                <c:pt idx="100">
                  <c:v>4.8999999999999906</c:v>
                </c:pt>
                <c:pt idx="101">
                  <c:v>4.9499999999999904</c:v>
                </c:pt>
                <c:pt idx="102">
                  <c:v>4.9999999999999902</c:v>
                </c:pt>
                <c:pt idx="103">
                  <c:v>5.0499999999999901</c:v>
                </c:pt>
                <c:pt idx="104">
                  <c:v>5.0999999999999899</c:v>
                </c:pt>
                <c:pt idx="105">
                  <c:v>5.1499999999999897</c:v>
                </c:pt>
                <c:pt idx="106">
                  <c:v>5.1999999999999895</c:v>
                </c:pt>
                <c:pt idx="107">
                  <c:v>5.2499999999999893</c:v>
                </c:pt>
                <c:pt idx="108">
                  <c:v>5.2999999999999892</c:v>
                </c:pt>
                <c:pt idx="109">
                  <c:v>5.349999999999989</c:v>
                </c:pt>
                <c:pt idx="110">
                  <c:v>5.3999999999999888</c:v>
                </c:pt>
                <c:pt idx="111">
                  <c:v>5.4499999999999886</c:v>
                </c:pt>
                <c:pt idx="112">
                  <c:v>5.4999999999999885</c:v>
                </c:pt>
                <c:pt idx="113">
                  <c:v>5.5499999999999883</c:v>
                </c:pt>
                <c:pt idx="114">
                  <c:v>5.5999999999999881</c:v>
                </c:pt>
                <c:pt idx="115">
                  <c:v>5.6499999999999879</c:v>
                </c:pt>
                <c:pt idx="116">
                  <c:v>5.6999999999999877</c:v>
                </c:pt>
                <c:pt idx="117">
                  <c:v>5.7499999999999876</c:v>
                </c:pt>
                <c:pt idx="118">
                  <c:v>5.7999999999999874</c:v>
                </c:pt>
                <c:pt idx="119">
                  <c:v>5.8499999999999872</c:v>
                </c:pt>
                <c:pt idx="120">
                  <c:v>5.899999999999987</c:v>
                </c:pt>
                <c:pt idx="121">
                  <c:v>5.9499999999999869</c:v>
                </c:pt>
                <c:pt idx="122">
                  <c:v>5.9999999999999867</c:v>
                </c:pt>
                <c:pt idx="123">
                  <c:v>6.0499999999999865</c:v>
                </c:pt>
                <c:pt idx="124">
                  <c:v>6.0999999999999863</c:v>
                </c:pt>
                <c:pt idx="125">
                  <c:v>6.1499999999999861</c:v>
                </c:pt>
                <c:pt idx="126">
                  <c:v>6.199999999999986</c:v>
                </c:pt>
                <c:pt idx="127">
                  <c:v>6.2499999999999858</c:v>
                </c:pt>
                <c:pt idx="128">
                  <c:v>6.2999999999999856</c:v>
                </c:pt>
                <c:pt idx="129">
                  <c:v>6.3499999999999854</c:v>
                </c:pt>
                <c:pt idx="130">
                  <c:v>6.3999999999999853</c:v>
                </c:pt>
                <c:pt idx="131">
                  <c:v>6.4499999999999851</c:v>
                </c:pt>
                <c:pt idx="132">
                  <c:v>6.4999999999999849</c:v>
                </c:pt>
                <c:pt idx="133">
                  <c:v>6.5499999999999847</c:v>
                </c:pt>
                <c:pt idx="134">
                  <c:v>6.5999999999999845</c:v>
                </c:pt>
                <c:pt idx="135">
                  <c:v>6.6499999999999844</c:v>
                </c:pt>
                <c:pt idx="136">
                  <c:v>6.6999999999999842</c:v>
                </c:pt>
                <c:pt idx="137">
                  <c:v>6.749999999999984</c:v>
                </c:pt>
                <c:pt idx="138">
                  <c:v>6.7999999999999838</c:v>
                </c:pt>
                <c:pt idx="139">
                  <c:v>6.8499999999999837</c:v>
                </c:pt>
                <c:pt idx="140">
                  <c:v>6.8999999999999835</c:v>
                </c:pt>
                <c:pt idx="141">
                  <c:v>6.9499999999999833</c:v>
                </c:pt>
                <c:pt idx="142">
                  <c:v>6.9999999999999831</c:v>
                </c:pt>
                <c:pt idx="143">
                  <c:v>7.0499999999999829</c:v>
                </c:pt>
                <c:pt idx="144">
                  <c:v>7.0999999999999828</c:v>
                </c:pt>
                <c:pt idx="145">
                  <c:v>7.1499999999999826</c:v>
                </c:pt>
                <c:pt idx="146">
                  <c:v>7.1999999999999824</c:v>
                </c:pt>
                <c:pt idx="147">
                  <c:v>7.2499999999999822</c:v>
                </c:pt>
                <c:pt idx="148">
                  <c:v>7.2999999999999821</c:v>
                </c:pt>
                <c:pt idx="149">
                  <c:v>7.3499999999999819</c:v>
                </c:pt>
                <c:pt idx="150">
                  <c:v>7.3999999999999817</c:v>
                </c:pt>
                <c:pt idx="151">
                  <c:v>7.4499999999999815</c:v>
                </c:pt>
                <c:pt idx="152">
                  <c:v>7.4999999999999813</c:v>
                </c:pt>
                <c:pt idx="153">
                  <c:v>7.5499999999999812</c:v>
                </c:pt>
                <c:pt idx="154">
                  <c:v>7.599999999999981</c:v>
                </c:pt>
                <c:pt idx="155">
                  <c:v>7.6499999999999808</c:v>
                </c:pt>
                <c:pt idx="156">
                  <c:v>7.6999999999999806</c:v>
                </c:pt>
                <c:pt idx="157">
                  <c:v>7.7499999999999805</c:v>
                </c:pt>
                <c:pt idx="158">
                  <c:v>7.7999999999999803</c:v>
                </c:pt>
                <c:pt idx="159">
                  <c:v>7.8499999999999801</c:v>
                </c:pt>
                <c:pt idx="160">
                  <c:v>7.8999999999999799</c:v>
                </c:pt>
                <c:pt idx="161">
                  <c:v>7.9499999999999797</c:v>
                </c:pt>
                <c:pt idx="162">
                  <c:v>7.9999999999999796</c:v>
                </c:pt>
                <c:pt idx="163">
                  <c:v>8.0499999999999794</c:v>
                </c:pt>
                <c:pt idx="164">
                  <c:v>8.0999999999999801</c:v>
                </c:pt>
                <c:pt idx="165">
                  <c:v>8.1499999999999808</c:v>
                </c:pt>
                <c:pt idx="166">
                  <c:v>8.1999999999999815</c:v>
                </c:pt>
                <c:pt idx="167">
                  <c:v>8.2499999999999822</c:v>
                </c:pt>
                <c:pt idx="168">
                  <c:v>8.2999999999999829</c:v>
                </c:pt>
                <c:pt idx="169">
                  <c:v>8.3499999999999837</c:v>
                </c:pt>
                <c:pt idx="170">
                  <c:v>8.3999999999999844</c:v>
                </c:pt>
                <c:pt idx="171">
                  <c:v>8.4499999999999851</c:v>
                </c:pt>
                <c:pt idx="172">
                  <c:v>8.4999999999999858</c:v>
                </c:pt>
                <c:pt idx="173">
                  <c:v>8.5499999999999865</c:v>
                </c:pt>
                <c:pt idx="174">
                  <c:v>8.5999999999999872</c:v>
                </c:pt>
                <c:pt idx="175">
                  <c:v>8.6499999999999879</c:v>
                </c:pt>
                <c:pt idx="176">
                  <c:v>8.6999999999999886</c:v>
                </c:pt>
                <c:pt idx="177">
                  <c:v>8.7499999999999893</c:v>
                </c:pt>
                <c:pt idx="178">
                  <c:v>8.7999999999999901</c:v>
                </c:pt>
                <c:pt idx="179">
                  <c:v>8.8499999999999908</c:v>
                </c:pt>
                <c:pt idx="180">
                  <c:v>8.8999999999999915</c:v>
                </c:pt>
                <c:pt idx="181">
                  <c:v>8.9499999999999922</c:v>
                </c:pt>
                <c:pt idx="182">
                  <c:v>8.9999999999999929</c:v>
                </c:pt>
                <c:pt idx="183">
                  <c:v>9.0499999999999936</c:v>
                </c:pt>
                <c:pt idx="184">
                  <c:v>9.0999999999999943</c:v>
                </c:pt>
                <c:pt idx="185">
                  <c:v>9.149999999999995</c:v>
                </c:pt>
                <c:pt idx="186">
                  <c:v>9.1999999999999957</c:v>
                </c:pt>
                <c:pt idx="187">
                  <c:v>9.2499999999999964</c:v>
                </c:pt>
                <c:pt idx="188">
                  <c:v>9.2999999999999972</c:v>
                </c:pt>
                <c:pt idx="189">
                  <c:v>9.3499999999999979</c:v>
                </c:pt>
                <c:pt idx="190">
                  <c:v>9.3999999999999986</c:v>
                </c:pt>
                <c:pt idx="191">
                  <c:v>9.4499999999999993</c:v>
                </c:pt>
                <c:pt idx="192">
                  <c:v>9.5</c:v>
                </c:pt>
                <c:pt idx="193">
                  <c:v>9.5500000000000007</c:v>
                </c:pt>
                <c:pt idx="194">
                  <c:v>9.6000000000000014</c:v>
                </c:pt>
                <c:pt idx="195">
                  <c:v>9.6500000000000021</c:v>
                </c:pt>
                <c:pt idx="196">
                  <c:v>9.7000000000000028</c:v>
                </c:pt>
                <c:pt idx="197">
                  <c:v>9.7500000000000036</c:v>
                </c:pt>
                <c:pt idx="198">
                  <c:v>9.8000000000000043</c:v>
                </c:pt>
                <c:pt idx="199">
                  <c:v>9.850000000000005</c:v>
                </c:pt>
                <c:pt idx="200">
                  <c:v>9.9000000000000057</c:v>
                </c:pt>
                <c:pt idx="201">
                  <c:v>9.9500000000000064</c:v>
                </c:pt>
                <c:pt idx="202">
                  <c:v>10.000000000000007</c:v>
                </c:pt>
              </c:numCache>
            </c:numRef>
          </c:xVal>
          <c:yVal>
            <c:numRef>
              <c:f>'Spreadsheet10.3 (new)'!$H$11:$H$213</c:f>
              <c:numCache>
                <c:formatCode>0.00%</c:formatCode>
                <c:ptCount val="203"/>
                <c:pt idx="1">
                  <c:v>4.1579981548900413E-3</c:v>
                </c:pt>
                <c:pt idx="2">
                  <c:v>8.2987073611240358E-3</c:v>
                </c:pt>
                <c:pt idx="3">
                  <c:v>1.2422199506118559E-2</c:v>
                </c:pt>
                <c:pt idx="4">
                  <c:v>1.6528546178382508E-2</c:v>
                </c:pt>
                <c:pt idx="5">
                  <c:v>1.6528546178382508E-2</c:v>
                </c:pt>
                <c:pt idx="6">
                  <c:v>2.0617818668759891E-2</c:v>
                </c:pt>
                <c:pt idx="7">
                  <c:v>2.0617818668759891E-2</c:v>
                </c:pt>
                <c:pt idx="8">
                  <c:v>2.4690087971667385E-2</c:v>
                </c:pt>
                <c:pt idx="9">
                  <c:v>2.8745424786327134E-2</c:v>
                </c:pt>
                <c:pt idx="10">
                  <c:v>3.2783899517994097E-2</c:v>
                </c:pt>
                <c:pt idx="11">
                  <c:v>3.6805582279178184E-2</c:v>
                </c:pt>
                <c:pt idx="12">
                  <c:v>4.0810542890861834E-2</c:v>
                </c:pt>
                <c:pt idx="13">
                  <c:v>4.4798850883711605E-2</c:v>
                </c:pt>
                <c:pt idx="14">
                  <c:v>4.8770575499285984E-2</c:v>
                </c:pt>
                <c:pt idx="15">
                  <c:v>5.2725785691237093E-2</c:v>
                </c:pt>
                <c:pt idx="16">
                  <c:v>5.666455012650784E-2</c:v>
                </c:pt>
                <c:pt idx="17">
                  <c:v>6.0586937186524192E-2</c:v>
                </c:pt>
                <c:pt idx="18">
                  <c:v>6.4493014968382223E-2</c:v>
                </c:pt>
                <c:pt idx="19">
                  <c:v>6.8382851286030499E-2</c:v>
                </c:pt>
                <c:pt idx="20">
                  <c:v>7.2256513671447142E-2</c:v>
                </c:pt>
                <c:pt idx="21">
                  <c:v>7.6114069375812554E-2</c:v>
                </c:pt>
                <c:pt idx="22">
                  <c:v>7.9955585370676818E-2</c:v>
                </c:pt>
                <c:pt idx="23">
                  <c:v>8.3781128349122436E-2</c:v>
                </c:pt>
                <c:pt idx="24">
                  <c:v>8.7590764726922177E-2</c:v>
                </c:pt>
                <c:pt idx="25">
                  <c:v>9.138456064369227E-2</c:v>
                </c:pt>
                <c:pt idx="26">
                  <c:v>9.5162581964040482E-2</c:v>
                </c:pt>
                <c:pt idx="27">
                  <c:v>9.892489427870943E-2</c:v>
                </c:pt>
                <c:pt idx="28">
                  <c:v>0.102671562905716</c:v>
                </c:pt>
                <c:pt idx="29">
                  <c:v>0.10640265289148432</c:v>
                </c:pt>
                <c:pt idx="30">
                  <c:v>0.11011822901197621</c:v>
                </c:pt>
                <c:pt idx="31">
                  <c:v>0.11381835577381472</c:v>
                </c:pt>
                <c:pt idx="32">
                  <c:v>0.11750309741540466</c:v>
                </c:pt>
                <c:pt idx="33">
                  <c:v>0.12117251790804762</c:v>
                </c:pt>
                <c:pt idx="34">
                  <c:v>0.12482668095705263</c:v>
                </c:pt>
                <c:pt idx="35">
                  <c:v>0.12846565000284216</c:v>
                </c:pt>
                <c:pt idx="36">
                  <c:v>0.13208948822205369</c:v>
                </c:pt>
                <c:pt idx="37">
                  <c:v>0.13569825852863604</c:v>
                </c:pt>
                <c:pt idx="38">
                  <c:v>0.1392920235749423</c:v>
                </c:pt>
                <c:pt idx="39">
                  <c:v>0.14287084575281683</c:v>
                </c:pt>
                <c:pt idx="40">
                  <c:v>0.14643478719467906</c:v>
                </c:pt>
                <c:pt idx="41">
                  <c:v>0.14998390977460196</c:v>
                </c:pt>
                <c:pt idx="42">
                  <c:v>0.15351827510938598</c:v>
                </c:pt>
                <c:pt idx="43">
                  <c:v>0.15703794455962927</c:v>
                </c:pt>
                <c:pt idx="44">
                  <c:v>0.16054297923079264</c:v>
                </c:pt>
                <c:pt idx="45">
                  <c:v>0.16403343997426056</c:v>
                </c:pt>
                <c:pt idx="46">
                  <c:v>0.16750938738839738</c:v>
                </c:pt>
                <c:pt idx="47">
                  <c:v>0.17097088181959963</c:v>
                </c:pt>
                <c:pt idx="48">
                  <c:v>0.17441798336334391</c:v>
                </c:pt>
                <c:pt idx="49">
                  <c:v>0.17785075186522947</c:v>
                </c:pt>
                <c:pt idx="50">
                  <c:v>0.18126924692201818</c:v>
                </c:pt>
                <c:pt idx="51">
                  <c:v>0.18467352788266811</c:v>
                </c:pt>
                <c:pt idx="52">
                  <c:v>0.18806365384936496</c:v>
                </c:pt>
                <c:pt idx="53">
                  <c:v>0.19143968367854747</c:v>
                </c:pt>
                <c:pt idx="54">
                  <c:v>0.19480167598192932</c:v>
                </c:pt>
                <c:pt idx="55">
                  <c:v>0.19814968912751707</c:v>
                </c:pt>
                <c:pt idx="56">
                  <c:v>0.20148378124062283</c:v>
                </c:pt>
                <c:pt idx="57">
                  <c:v>0.20480401020487415</c:v>
                </c:pt>
                <c:pt idx="58">
                  <c:v>0.20811043366321824</c:v>
                </c:pt>
                <c:pt idx="59">
                  <c:v>0.21140310901892323</c:v>
                </c:pt>
                <c:pt idx="60">
                  <c:v>0.21468209343657452</c:v>
                </c:pt>
                <c:pt idx="61">
                  <c:v>0.21794744384306741</c:v>
                </c:pt>
                <c:pt idx="62">
                  <c:v>0.22119921692859501</c:v>
                </c:pt>
                <c:pt idx="63">
                  <c:v>0.22443746914763285</c:v>
                </c:pt>
                <c:pt idx="64">
                  <c:v>0.2276622567199188</c:v>
                </c:pt>
                <c:pt idx="65">
                  <c:v>0.23087363563142926</c:v>
                </c:pt>
                <c:pt idx="66">
                  <c:v>0.23407166163535109</c:v>
                </c:pt>
                <c:pt idx="67">
                  <c:v>0.23725639025304934</c:v>
                </c:pt>
                <c:pt idx="68">
                  <c:v>0.2404278767750313</c:v>
                </c:pt>
                <c:pt idx="69">
                  <c:v>0.2435861762619066</c:v>
                </c:pt>
                <c:pt idx="70">
                  <c:v>0.24673134354534298</c:v>
                </c:pt>
                <c:pt idx="71">
                  <c:v>0.24986343322901794</c:v>
                </c:pt>
                <c:pt idx="72">
                  <c:v>0.25298249968956721</c:v>
                </c:pt>
                <c:pt idx="73">
                  <c:v>0.25608859707752862</c:v>
                </c:pt>
                <c:pt idx="74">
                  <c:v>0.25918177931828179</c:v>
                </c:pt>
                <c:pt idx="75">
                  <c:v>0.26226210011298534</c:v>
                </c:pt>
                <c:pt idx="76">
                  <c:v>0.26532961293950807</c:v>
                </c:pt>
                <c:pt idx="77">
                  <c:v>0.26838437105335788</c:v>
                </c:pt>
                <c:pt idx="78">
                  <c:v>0.27142642748860679</c:v>
                </c:pt>
                <c:pt idx="79">
                  <c:v>0.27445583505881077</c:v>
                </c:pt>
                <c:pt idx="80">
                  <c:v>0.27747264635792745</c:v>
                </c:pt>
                <c:pt idx="81">
                  <c:v>0.28047691376122885</c:v>
                </c:pt>
                <c:pt idx="82">
                  <c:v>0.2834686894262104</c:v>
                </c:pt>
                <c:pt idx="83">
                  <c:v>0.28644802529349722</c:v>
                </c:pt>
                <c:pt idx="84">
                  <c:v>0.289414973087745</c:v>
                </c:pt>
                <c:pt idx="85">
                  <c:v>0.29236958431853866</c:v>
                </c:pt>
                <c:pt idx="86">
                  <c:v>0.29531191028128612</c:v>
                </c:pt>
                <c:pt idx="87">
                  <c:v>0.29824200205810958</c:v>
                </c:pt>
                <c:pt idx="88">
                  <c:v>0.30115991051873126</c:v>
                </c:pt>
                <c:pt idx="89">
                  <c:v>0.30406568632135766</c:v>
                </c:pt>
                <c:pt idx="90">
                  <c:v>0.30695937991355804</c:v>
                </c:pt>
                <c:pt idx="91">
                  <c:v>0.30984104153314129</c:v>
                </c:pt>
                <c:pt idx="92">
                  <c:v>0.31271072120902732</c:v>
                </c:pt>
                <c:pt idx="93">
                  <c:v>0.31556846876211597</c:v>
                </c:pt>
                <c:pt idx="94">
                  <c:v>0.31841433380615169</c:v>
                </c:pt>
                <c:pt idx="95">
                  <c:v>0.32124836574858517</c:v>
                </c:pt>
                <c:pt idx="96">
                  <c:v>0.32407061379143109</c:v>
                </c:pt>
                <c:pt idx="97">
                  <c:v>0.32688112693212235</c:v>
                </c:pt>
                <c:pt idx="98">
                  <c:v>0.32967995396436023</c:v>
                </c:pt>
                <c:pt idx="99">
                  <c:v>0.33246714347896222</c:v>
                </c:pt>
                <c:pt idx="100">
                  <c:v>0.3352427438647051</c:v>
                </c:pt>
                <c:pt idx="101">
                  <c:v>0.33800680330916544</c:v>
                </c:pt>
                <c:pt idx="102">
                  <c:v>0.34075936979955568</c:v>
                </c:pt>
                <c:pt idx="103">
                  <c:v>0.34350049112355774</c:v>
                </c:pt>
                <c:pt idx="104">
                  <c:v>0.34623021487015215</c:v>
                </c:pt>
                <c:pt idx="105">
                  <c:v>0.34894858843044496</c:v>
                </c:pt>
                <c:pt idx="106">
                  <c:v>0.35165565899848972</c:v>
                </c:pt>
                <c:pt idx="107">
                  <c:v>0.35435147357210739</c:v>
                </c:pt>
                <c:pt idx="108">
                  <c:v>0.35703607895370204</c:v>
                </c:pt>
                <c:pt idx="109">
                  <c:v>0.3597095217510734</c:v>
                </c:pt>
                <c:pt idx="110">
                  <c:v>0.36237184837822611</c:v>
                </c:pt>
                <c:pt idx="111">
                  <c:v>0.36502310505617541</c:v>
                </c:pt>
                <c:pt idx="112">
                  <c:v>0.3676633378137496</c:v>
                </c:pt>
                <c:pt idx="113">
                  <c:v>0.37029259248838942</c:v>
                </c:pt>
                <c:pt idx="114">
                  <c:v>0.37291091472694327</c:v>
                </c:pt>
                <c:pt idx="115">
                  <c:v>0.37551834998646039</c:v>
                </c:pt>
                <c:pt idx="116">
                  <c:v>0.37811494353497932</c:v>
                </c:pt>
                <c:pt idx="117">
                  <c:v>0.3807007404523145</c:v>
                </c:pt>
                <c:pt idx="118">
                  <c:v>0.38327578563083853</c:v>
                </c:pt>
                <c:pt idx="119">
                  <c:v>0.38584012377626165</c:v>
                </c:pt>
                <c:pt idx="120">
                  <c:v>0.38839379940840735</c:v>
                </c:pt>
                <c:pt idx="121">
                  <c:v>0.39093685686198654</c:v>
                </c:pt>
                <c:pt idx="122">
                  <c:v>0.39346934028736591</c:v>
                </c:pt>
                <c:pt idx="123">
                  <c:v>0.39599129365133523</c:v>
                </c:pt>
                <c:pt idx="124">
                  <c:v>0.3985027607378705</c:v>
                </c:pt>
                <c:pt idx="125">
                  <c:v>0.40100378514889401</c:v>
                </c:pt>
                <c:pt idx="126">
                  <c:v>0.40349441030503097</c:v>
                </c:pt>
                <c:pt idx="127">
                  <c:v>0.40597467944636423</c:v>
                </c:pt>
                <c:pt idx="128">
                  <c:v>0.40844463563318423</c:v>
                </c:pt>
                <c:pt idx="129">
                  <c:v>0.41090432174673674</c:v>
                </c:pt>
                <c:pt idx="130">
                  <c:v>0.41335378048996751</c:v>
                </c:pt>
                <c:pt idx="131">
                  <c:v>0.41579305438826353</c:v>
                </c:pt>
                <c:pt idx="132">
                  <c:v>0.41822218579019099</c:v>
                </c:pt>
                <c:pt idx="133">
                  <c:v>0.4206412168682313</c:v>
                </c:pt>
                <c:pt idx="134">
                  <c:v>0.42305018961951257</c:v>
                </c:pt>
                <c:pt idx="135">
                  <c:v>0.42544914586653881</c:v>
                </c:pt>
                <c:pt idx="136">
                  <c:v>0.42783812725791626</c:v>
                </c:pt>
                <c:pt idx="137">
                  <c:v>0.43021717526907621</c:v>
                </c:pt>
                <c:pt idx="138">
                  <c:v>0.4325863312029955</c:v>
                </c:pt>
                <c:pt idx="139">
                  <c:v>0.43494563619091287</c:v>
                </c:pt>
                <c:pt idx="140">
                  <c:v>0.43729513119304353</c:v>
                </c:pt>
                <c:pt idx="141">
                  <c:v>0.43963485699929061</c:v>
                </c:pt>
                <c:pt idx="142">
                  <c:v>0.44196485422995213</c:v>
                </c:pt>
                <c:pt idx="143">
                  <c:v>0.44428516333642776</c:v>
                </c:pt>
                <c:pt idx="144">
                  <c:v>0.44659582460191993</c:v>
                </c:pt>
                <c:pt idx="145">
                  <c:v>0.44889687814213364</c:v>
                </c:pt>
                <c:pt idx="146">
                  <c:v>0.45118836390597272</c:v>
                </c:pt>
                <c:pt idx="147">
                  <c:v>0.45347032167623391</c:v>
                </c:pt>
                <c:pt idx="148">
                  <c:v>0.4557427910702968</c:v>
                </c:pt>
                <c:pt idx="149">
                  <c:v>0.4580058115408121</c:v>
                </c:pt>
                <c:pt idx="150">
                  <c:v>0.46025942237638651</c:v>
                </c:pt>
                <c:pt idx="151">
                  <c:v>0.46250366270226484</c:v>
                </c:pt>
                <c:pt idx="152">
                  <c:v>0.46473857148100894</c:v>
                </c:pt>
                <c:pt idx="153">
                  <c:v>0.4669641875131747</c:v>
                </c:pt>
                <c:pt idx="154">
                  <c:v>0.46918054943798526</c:v>
                </c:pt>
                <c:pt idx="155">
                  <c:v>0.47138769573400185</c:v>
                </c:pt>
                <c:pt idx="156">
                  <c:v>0.47358566471979202</c:v>
                </c:pt>
                <c:pt idx="157">
                  <c:v>0.47577449455459475</c:v>
                </c:pt>
                <c:pt idx="158">
                  <c:v>0.47795422323898307</c:v>
                </c:pt>
                <c:pt idx="159">
                  <c:v>0.48012488861552349</c:v>
                </c:pt>
                <c:pt idx="160">
                  <c:v>0.48228652836943342</c:v>
                </c:pt>
                <c:pt idx="161">
                  <c:v>0.48443918002923503</c:v>
                </c:pt>
                <c:pt idx="162">
                  <c:v>0.48658288096740721</c:v>
                </c:pt>
                <c:pt idx="163">
                  <c:v>0.48871766840103359</c:v>
                </c:pt>
                <c:pt idx="164">
                  <c:v>0.49084357939245005</c:v>
                </c:pt>
                <c:pt idx="165">
                  <c:v>0.49296065084988661</c:v>
                </c:pt>
                <c:pt idx="166">
                  <c:v>0.4950689195281095</c:v>
                </c:pt>
                <c:pt idx="167">
                  <c:v>0.49716842202905831</c:v>
                </c:pt>
                <c:pt idx="168">
                  <c:v>0.49925919480248204</c:v>
                </c:pt>
                <c:pt idx="169">
                  <c:v>0.50134127414657148</c:v>
                </c:pt>
                <c:pt idx="170">
                  <c:v>0.50341469620858981</c:v>
                </c:pt>
                <c:pt idx="171">
                  <c:v>0.5054794969855001</c:v>
                </c:pt>
                <c:pt idx="172">
                  <c:v>0.50753571232458972</c:v>
                </c:pt>
                <c:pt idx="173">
                  <c:v>0.50958337792409347</c:v>
                </c:pt>
                <c:pt idx="174">
                  <c:v>0.51162252933381236</c:v>
                </c:pt>
                <c:pt idx="175">
                  <c:v>0.51365320195573227</c:v>
                </c:pt>
                <c:pt idx="176">
                  <c:v>0.51567543104463709</c:v>
                </c:pt>
                <c:pt idx="177">
                  <c:v>0.51768925170872149</c:v>
                </c:pt>
                <c:pt idx="178">
                  <c:v>0.51969469891020026</c:v>
                </c:pt>
                <c:pt idx="179">
                  <c:v>0.52169180746591559</c:v>
                </c:pt>
                <c:pt idx="180">
                  <c:v>0.52368061204794114</c:v>
                </c:pt>
                <c:pt idx="181">
                  <c:v>0.52566114718418422</c:v>
                </c:pt>
                <c:pt idx="182">
                  <c:v>0.52763344725898498</c:v>
                </c:pt>
                <c:pt idx="183">
                  <c:v>0.52959754651371393</c:v>
                </c:pt>
                <c:pt idx="184">
                  <c:v>0.53155347904736572</c:v>
                </c:pt>
                <c:pt idx="185">
                  <c:v>0.53350127881715137</c:v>
                </c:pt>
                <c:pt idx="186">
                  <c:v>0.53544097963908843</c:v>
                </c:pt>
                <c:pt idx="187">
                  <c:v>0.53737261518858659</c:v>
                </c:pt>
                <c:pt idx="188">
                  <c:v>0.53929621900103397</c:v>
                </c:pt>
                <c:pt idx="189">
                  <c:v>0.5412118244723787</c:v>
                </c:pt>
                <c:pt idx="190">
                  <c:v>0.54311946485970797</c:v>
                </c:pt>
                <c:pt idx="191">
                  <c:v>0.54501917328182647</c:v>
                </c:pt>
                <c:pt idx="192">
                  <c:v>0.54691098271983107</c:v>
                </c:pt>
                <c:pt idx="193">
                  <c:v>0.54879492601768298</c:v>
                </c:pt>
                <c:pt idx="194">
                  <c:v>0.55067103588277844</c:v>
                </c:pt>
                <c:pt idx="195">
                  <c:v>0.55253934488651657</c:v>
                </c:pt>
                <c:pt idx="196">
                  <c:v>0.55439988546486441</c:v>
                </c:pt>
                <c:pt idx="197">
                  <c:v>0.5562526899189203</c:v>
                </c:pt>
                <c:pt idx="198">
                  <c:v>0.5580977904154748</c:v>
                </c:pt>
                <c:pt idx="199">
                  <c:v>0.55993521898756915</c:v>
                </c:pt>
                <c:pt idx="200">
                  <c:v>0.56176500753505099</c:v>
                </c:pt>
                <c:pt idx="201">
                  <c:v>0.56358718782512862</c:v>
                </c:pt>
                <c:pt idx="202">
                  <c:v>0.56540179149292202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10-4547-B6E8-8C6A3B3AE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22752"/>
        <c:axId val="172941312"/>
      </c:scatterChart>
      <c:valAx>
        <c:axId val="172922752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>
            <c:manualLayout>
              <c:xMode val="edge"/>
              <c:yMode val="edge"/>
              <c:x val="0.46782125719133599"/>
              <c:y val="0.8762652983303643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172941312"/>
        <c:crosses val="autoZero"/>
        <c:crossBetween val="midCat"/>
      </c:valAx>
      <c:valAx>
        <c:axId val="17294131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Cumulative default probability</a:t>
                </a:r>
              </a:p>
            </c:rich>
          </c:tx>
          <c:layout>
            <c:manualLayout>
              <c:xMode val="edge"/>
              <c:yMode val="edge"/>
              <c:x val="2.6936026936026935E-2"/>
              <c:y val="9.4444518468726563E-2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crossAx val="17292275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572682202603462"/>
          <c:y val="0.1814880381609979"/>
          <c:w val="0.78700045070123814"/>
          <c:h val="0.6011133660438978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'Spreadsheet10.3 (new)'!$F$10</c:f>
              <c:strCache>
                <c:ptCount val="1"/>
                <c:pt idx="0">
                  <c:v>Credit spread</c:v>
                </c:pt>
              </c:strCache>
            </c:strRef>
          </c:tx>
          <c:marker>
            <c:symbol val="none"/>
          </c:marker>
          <c:xVal>
            <c:numRef>
              <c:f>'Spreadsheet10.3 (new)'!$E$11:$E$213</c:f>
              <c:numCache>
                <c:formatCode>0.00</c:formatCode>
                <c:ptCount val="203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</c:v>
                </c:pt>
                <c:pt idx="6">
                  <c:v>0.25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1.0000000000000002</c:v>
                </c:pt>
                <c:pt idx="23">
                  <c:v>1.0500000000000003</c:v>
                </c:pt>
                <c:pt idx="24">
                  <c:v>1.1000000000000003</c:v>
                </c:pt>
                <c:pt idx="25">
                  <c:v>1.1500000000000004</c:v>
                </c:pt>
                <c:pt idx="26">
                  <c:v>1.2000000000000004</c:v>
                </c:pt>
                <c:pt idx="27">
                  <c:v>1.2500000000000004</c:v>
                </c:pt>
                <c:pt idx="28">
                  <c:v>1.3000000000000005</c:v>
                </c:pt>
                <c:pt idx="29">
                  <c:v>1.3500000000000005</c:v>
                </c:pt>
                <c:pt idx="30">
                  <c:v>1.4000000000000006</c:v>
                </c:pt>
                <c:pt idx="31">
                  <c:v>1.4500000000000006</c:v>
                </c:pt>
                <c:pt idx="32">
                  <c:v>1.5000000000000007</c:v>
                </c:pt>
                <c:pt idx="33">
                  <c:v>1.5500000000000007</c:v>
                </c:pt>
                <c:pt idx="34">
                  <c:v>1.6000000000000008</c:v>
                </c:pt>
                <c:pt idx="35">
                  <c:v>1.6500000000000008</c:v>
                </c:pt>
                <c:pt idx="36">
                  <c:v>1.7000000000000008</c:v>
                </c:pt>
                <c:pt idx="37">
                  <c:v>1.7500000000000009</c:v>
                </c:pt>
                <c:pt idx="38">
                  <c:v>1.8000000000000009</c:v>
                </c:pt>
                <c:pt idx="39">
                  <c:v>1.850000000000001</c:v>
                </c:pt>
                <c:pt idx="40">
                  <c:v>1.900000000000001</c:v>
                </c:pt>
                <c:pt idx="41">
                  <c:v>1.9500000000000011</c:v>
                </c:pt>
                <c:pt idx="42">
                  <c:v>2.0000000000000009</c:v>
                </c:pt>
                <c:pt idx="43">
                  <c:v>2.0500000000000007</c:v>
                </c:pt>
                <c:pt idx="44">
                  <c:v>2.1000000000000005</c:v>
                </c:pt>
                <c:pt idx="45">
                  <c:v>2.1500000000000004</c:v>
                </c:pt>
                <c:pt idx="46">
                  <c:v>2.2000000000000002</c:v>
                </c:pt>
                <c:pt idx="47">
                  <c:v>2.25</c:v>
                </c:pt>
                <c:pt idx="48">
                  <c:v>2.2999999999999998</c:v>
                </c:pt>
                <c:pt idx="49">
                  <c:v>2.3499999999999996</c:v>
                </c:pt>
                <c:pt idx="50">
                  <c:v>2.3999999999999995</c:v>
                </c:pt>
                <c:pt idx="51">
                  <c:v>2.4499999999999993</c:v>
                </c:pt>
                <c:pt idx="52">
                  <c:v>2.4999999999999991</c:v>
                </c:pt>
                <c:pt idx="53">
                  <c:v>2.5499999999999989</c:v>
                </c:pt>
                <c:pt idx="54">
                  <c:v>2.5999999999999988</c:v>
                </c:pt>
                <c:pt idx="55">
                  <c:v>2.6499999999999986</c:v>
                </c:pt>
                <c:pt idx="56">
                  <c:v>2.6999999999999984</c:v>
                </c:pt>
                <c:pt idx="57">
                  <c:v>2.7499999999999982</c:v>
                </c:pt>
                <c:pt idx="58">
                  <c:v>2.799999999999998</c:v>
                </c:pt>
                <c:pt idx="59">
                  <c:v>2.8499999999999979</c:v>
                </c:pt>
                <c:pt idx="60">
                  <c:v>2.8999999999999977</c:v>
                </c:pt>
                <c:pt idx="61">
                  <c:v>2.9499999999999975</c:v>
                </c:pt>
                <c:pt idx="62">
                  <c:v>2.9999999999999973</c:v>
                </c:pt>
                <c:pt idx="63">
                  <c:v>3.0499999999999972</c:v>
                </c:pt>
                <c:pt idx="64">
                  <c:v>3.099999999999997</c:v>
                </c:pt>
                <c:pt idx="65">
                  <c:v>3.1499999999999968</c:v>
                </c:pt>
                <c:pt idx="66">
                  <c:v>3.1999999999999966</c:v>
                </c:pt>
                <c:pt idx="67">
                  <c:v>3.2499999999999964</c:v>
                </c:pt>
                <c:pt idx="68">
                  <c:v>3.2999999999999963</c:v>
                </c:pt>
                <c:pt idx="69">
                  <c:v>3.3499999999999961</c:v>
                </c:pt>
                <c:pt idx="70">
                  <c:v>3.3999999999999959</c:v>
                </c:pt>
                <c:pt idx="71">
                  <c:v>3.4499999999999957</c:v>
                </c:pt>
                <c:pt idx="72">
                  <c:v>3.4999999999999956</c:v>
                </c:pt>
                <c:pt idx="73">
                  <c:v>3.5499999999999954</c:v>
                </c:pt>
                <c:pt idx="74">
                  <c:v>3.5999999999999952</c:v>
                </c:pt>
                <c:pt idx="75">
                  <c:v>3.649999999999995</c:v>
                </c:pt>
                <c:pt idx="76">
                  <c:v>3.6999999999999948</c:v>
                </c:pt>
                <c:pt idx="77">
                  <c:v>3.7499999999999947</c:v>
                </c:pt>
                <c:pt idx="78">
                  <c:v>3.7999999999999945</c:v>
                </c:pt>
                <c:pt idx="79">
                  <c:v>3.8499999999999943</c:v>
                </c:pt>
                <c:pt idx="80">
                  <c:v>3.8999999999999941</c:v>
                </c:pt>
                <c:pt idx="81">
                  <c:v>3.949999999999994</c:v>
                </c:pt>
                <c:pt idx="82">
                  <c:v>3.9999999999999938</c:v>
                </c:pt>
                <c:pt idx="83">
                  <c:v>4.0499999999999936</c:v>
                </c:pt>
                <c:pt idx="84">
                  <c:v>4.0999999999999934</c:v>
                </c:pt>
                <c:pt idx="85">
                  <c:v>4.1499999999999932</c:v>
                </c:pt>
                <c:pt idx="86">
                  <c:v>4.1999999999999931</c:v>
                </c:pt>
                <c:pt idx="87">
                  <c:v>4.2499999999999929</c:v>
                </c:pt>
                <c:pt idx="88">
                  <c:v>4.2999999999999927</c:v>
                </c:pt>
                <c:pt idx="89">
                  <c:v>4.3499999999999925</c:v>
                </c:pt>
                <c:pt idx="90">
                  <c:v>4.3999999999999924</c:v>
                </c:pt>
                <c:pt idx="91">
                  <c:v>4.4499999999999922</c:v>
                </c:pt>
                <c:pt idx="92">
                  <c:v>4.499999999999992</c:v>
                </c:pt>
                <c:pt idx="93">
                  <c:v>4.5499999999999918</c:v>
                </c:pt>
                <c:pt idx="94">
                  <c:v>4.5999999999999917</c:v>
                </c:pt>
                <c:pt idx="95">
                  <c:v>4.6499999999999915</c:v>
                </c:pt>
                <c:pt idx="96">
                  <c:v>4.6999999999999913</c:v>
                </c:pt>
                <c:pt idx="97">
                  <c:v>4.7499999999999911</c:v>
                </c:pt>
                <c:pt idx="98">
                  <c:v>4.7999999999999909</c:v>
                </c:pt>
                <c:pt idx="99">
                  <c:v>4.8499999999999908</c:v>
                </c:pt>
                <c:pt idx="100">
                  <c:v>4.8999999999999906</c:v>
                </c:pt>
                <c:pt idx="101">
                  <c:v>4.9499999999999904</c:v>
                </c:pt>
                <c:pt idx="102">
                  <c:v>4.9999999999999902</c:v>
                </c:pt>
                <c:pt idx="103">
                  <c:v>5.0499999999999901</c:v>
                </c:pt>
                <c:pt idx="104">
                  <c:v>5.0999999999999899</c:v>
                </c:pt>
                <c:pt idx="105">
                  <c:v>5.1499999999999897</c:v>
                </c:pt>
                <c:pt idx="106">
                  <c:v>5.1999999999999895</c:v>
                </c:pt>
                <c:pt idx="107">
                  <c:v>5.2499999999999893</c:v>
                </c:pt>
                <c:pt idx="108">
                  <c:v>5.2999999999999892</c:v>
                </c:pt>
                <c:pt idx="109">
                  <c:v>5.349999999999989</c:v>
                </c:pt>
                <c:pt idx="110">
                  <c:v>5.3999999999999888</c:v>
                </c:pt>
                <c:pt idx="111">
                  <c:v>5.4499999999999886</c:v>
                </c:pt>
                <c:pt idx="112">
                  <c:v>5.4999999999999885</c:v>
                </c:pt>
                <c:pt idx="113">
                  <c:v>5.5499999999999883</c:v>
                </c:pt>
                <c:pt idx="114">
                  <c:v>5.5999999999999881</c:v>
                </c:pt>
                <c:pt idx="115">
                  <c:v>5.6499999999999879</c:v>
                </c:pt>
                <c:pt idx="116">
                  <c:v>5.6999999999999877</c:v>
                </c:pt>
                <c:pt idx="117">
                  <c:v>5.7499999999999876</c:v>
                </c:pt>
                <c:pt idx="118">
                  <c:v>5.7999999999999874</c:v>
                </c:pt>
                <c:pt idx="119">
                  <c:v>5.8499999999999872</c:v>
                </c:pt>
                <c:pt idx="120">
                  <c:v>5.899999999999987</c:v>
                </c:pt>
                <c:pt idx="121">
                  <c:v>5.9499999999999869</c:v>
                </c:pt>
                <c:pt idx="122">
                  <c:v>5.9999999999999867</c:v>
                </c:pt>
                <c:pt idx="123">
                  <c:v>6.0499999999999865</c:v>
                </c:pt>
                <c:pt idx="124">
                  <c:v>6.0999999999999863</c:v>
                </c:pt>
                <c:pt idx="125">
                  <c:v>6.1499999999999861</c:v>
                </c:pt>
                <c:pt idx="126">
                  <c:v>6.199999999999986</c:v>
                </c:pt>
                <c:pt idx="127">
                  <c:v>6.2499999999999858</c:v>
                </c:pt>
                <c:pt idx="128">
                  <c:v>6.2999999999999856</c:v>
                </c:pt>
                <c:pt idx="129">
                  <c:v>6.3499999999999854</c:v>
                </c:pt>
                <c:pt idx="130">
                  <c:v>6.3999999999999853</c:v>
                </c:pt>
                <c:pt idx="131">
                  <c:v>6.4499999999999851</c:v>
                </c:pt>
                <c:pt idx="132">
                  <c:v>6.4999999999999849</c:v>
                </c:pt>
                <c:pt idx="133">
                  <c:v>6.5499999999999847</c:v>
                </c:pt>
                <c:pt idx="134">
                  <c:v>6.5999999999999845</c:v>
                </c:pt>
                <c:pt idx="135">
                  <c:v>6.6499999999999844</c:v>
                </c:pt>
                <c:pt idx="136">
                  <c:v>6.6999999999999842</c:v>
                </c:pt>
                <c:pt idx="137">
                  <c:v>6.749999999999984</c:v>
                </c:pt>
                <c:pt idx="138">
                  <c:v>6.7999999999999838</c:v>
                </c:pt>
                <c:pt idx="139">
                  <c:v>6.8499999999999837</c:v>
                </c:pt>
                <c:pt idx="140">
                  <c:v>6.8999999999999835</c:v>
                </c:pt>
                <c:pt idx="141">
                  <c:v>6.9499999999999833</c:v>
                </c:pt>
                <c:pt idx="142">
                  <c:v>6.9999999999999831</c:v>
                </c:pt>
                <c:pt idx="143">
                  <c:v>7.0499999999999829</c:v>
                </c:pt>
                <c:pt idx="144">
                  <c:v>7.0999999999999828</c:v>
                </c:pt>
                <c:pt idx="145">
                  <c:v>7.1499999999999826</c:v>
                </c:pt>
                <c:pt idx="146">
                  <c:v>7.1999999999999824</c:v>
                </c:pt>
                <c:pt idx="147">
                  <c:v>7.2499999999999822</c:v>
                </c:pt>
                <c:pt idx="148">
                  <c:v>7.2999999999999821</c:v>
                </c:pt>
                <c:pt idx="149">
                  <c:v>7.3499999999999819</c:v>
                </c:pt>
                <c:pt idx="150">
                  <c:v>7.3999999999999817</c:v>
                </c:pt>
                <c:pt idx="151">
                  <c:v>7.4499999999999815</c:v>
                </c:pt>
                <c:pt idx="152">
                  <c:v>7.4999999999999813</c:v>
                </c:pt>
                <c:pt idx="153">
                  <c:v>7.5499999999999812</c:v>
                </c:pt>
                <c:pt idx="154">
                  <c:v>7.599999999999981</c:v>
                </c:pt>
                <c:pt idx="155">
                  <c:v>7.6499999999999808</c:v>
                </c:pt>
                <c:pt idx="156">
                  <c:v>7.6999999999999806</c:v>
                </c:pt>
                <c:pt idx="157">
                  <c:v>7.7499999999999805</c:v>
                </c:pt>
                <c:pt idx="158">
                  <c:v>7.7999999999999803</c:v>
                </c:pt>
                <c:pt idx="159">
                  <c:v>7.8499999999999801</c:v>
                </c:pt>
                <c:pt idx="160">
                  <c:v>7.8999999999999799</c:v>
                </c:pt>
                <c:pt idx="161">
                  <c:v>7.9499999999999797</c:v>
                </c:pt>
                <c:pt idx="162">
                  <c:v>7.9999999999999796</c:v>
                </c:pt>
                <c:pt idx="163">
                  <c:v>8.0499999999999794</c:v>
                </c:pt>
                <c:pt idx="164">
                  <c:v>8.0999999999999801</c:v>
                </c:pt>
                <c:pt idx="165">
                  <c:v>8.1499999999999808</c:v>
                </c:pt>
                <c:pt idx="166">
                  <c:v>8.1999999999999815</c:v>
                </c:pt>
                <c:pt idx="167">
                  <c:v>8.2499999999999822</c:v>
                </c:pt>
                <c:pt idx="168">
                  <c:v>8.2999999999999829</c:v>
                </c:pt>
                <c:pt idx="169">
                  <c:v>8.3499999999999837</c:v>
                </c:pt>
                <c:pt idx="170">
                  <c:v>8.3999999999999844</c:v>
                </c:pt>
                <c:pt idx="171">
                  <c:v>8.4499999999999851</c:v>
                </c:pt>
                <c:pt idx="172">
                  <c:v>8.4999999999999858</c:v>
                </c:pt>
                <c:pt idx="173">
                  <c:v>8.5499999999999865</c:v>
                </c:pt>
                <c:pt idx="174">
                  <c:v>8.5999999999999872</c:v>
                </c:pt>
                <c:pt idx="175">
                  <c:v>8.6499999999999879</c:v>
                </c:pt>
                <c:pt idx="176">
                  <c:v>8.6999999999999886</c:v>
                </c:pt>
                <c:pt idx="177">
                  <c:v>8.7499999999999893</c:v>
                </c:pt>
                <c:pt idx="178">
                  <c:v>8.7999999999999901</c:v>
                </c:pt>
                <c:pt idx="179">
                  <c:v>8.8499999999999908</c:v>
                </c:pt>
                <c:pt idx="180">
                  <c:v>8.8999999999999915</c:v>
                </c:pt>
                <c:pt idx="181">
                  <c:v>8.9499999999999922</c:v>
                </c:pt>
                <c:pt idx="182">
                  <c:v>8.9999999999999929</c:v>
                </c:pt>
                <c:pt idx="183">
                  <c:v>9.0499999999999936</c:v>
                </c:pt>
                <c:pt idx="184">
                  <c:v>9.0999999999999943</c:v>
                </c:pt>
                <c:pt idx="185">
                  <c:v>9.149999999999995</c:v>
                </c:pt>
                <c:pt idx="186">
                  <c:v>9.1999999999999957</c:v>
                </c:pt>
                <c:pt idx="187">
                  <c:v>9.2499999999999964</c:v>
                </c:pt>
                <c:pt idx="188">
                  <c:v>9.2999999999999972</c:v>
                </c:pt>
                <c:pt idx="189">
                  <c:v>9.3499999999999979</c:v>
                </c:pt>
                <c:pt idx="190">
                  <c:v>9.3999999999999986</c:v>
                </c:pt>
                <c:pt idx="191">
                  <c:v>9.4499999999999993</c:v>
                </c:pt>
                <c:pt idx="192">
                  <c:v>9.5</c:v>
                </c:pt>
                <c:pt idx="193">
                  <c:v>9.5500000000000007</c:v>
                </c:pt>
                <c:pt idx="194">
                  <c:v>9.6000000000000014</c:v>
                </c:pt>
                <c:pt idx="195">
                  <c:v>9.6500000000000021</c:v>
                </c:pt>
                <c:pt idx="196">
                  <c:v>9.7000000000000028</c:v>
                </c:pt>
                <c:pt idx="197">
                  <c:v>9.7500000000000036</c:v>
                </c:pt>
                <c:pt idx="198">
                  <c:v>9.8000000000000043</c:v>
                </c:pt>
                <c:pt idx="199">
                  <c:v>9.850000000000005</c:v>
                </c:pt>
                <c:pt idx="200">
                  <c:v>9.9000000000000057</c:v>
                </c:pt>
                <c:pt idx="201">
                  <c:v>9.9500000000000064</c:v>
                </c:pt>
                <c:pt idx="202">
                  <c:v>10.000000000000007</c:v>
                </c:pt>
              </c:numCache>
            </c:numRef>
          </c:xVal>
          <c:yVal>
            <c:numRef>
              <c:f>'Spreadsheet10.3 (new)'!$F$11:$F$213</c:f>
              <c:numCache>
                <c:formatCode>0</c:formatCode>
                <c:ptCount val="203"/>
                <c:pt idx="0">
                  <c:v>169.80633783340454</c:v>
                </c:pt>
                <c:pt idx="1">
                  <c:v>173.65566662234068</c:v>
                </c:pt>
                <c:pt idx="2">
                  <c:v>177.52966530656815</c:v>
                </c:pt>
                <c:pt idx="3">
                  <c:v>181.42703547054529</c:v>
                </c:pt>
                <c:pt idx="4">
                  <c:v>185.34647869873046</c:v>
                </c:pt>
                <c:pt idx="5">
                  <c:v>185.34647869873046</c:v>
                </c:pt>
                <c:pt idx="6">
                  <c:v>189.28669657558203</c:v>
                </c:pt>
                <c:pt idx="7">
                  <c:v>189.28669657558203</c:v>
                </c:pt>
                <c:pt idx="8">
                  <c:v>193.24639068555831</c:v>
                </c:pt>
                <c:pt idx="9">
                  <c:v>197.2242626131177</c:v>
                </c:pt>
                <c:pt idx="10">
                  <c:v>201.2190139427185</c:v>
                </c:pt>
                <c:pt idx="11">
                  <c:v>205.22934625881911</c:v>
                </c:pt>
                <c:pt idx="12">
                  <c:v>209.25396114587784</c:v>
                </c:pt>
                <c:pt idx="13">
                  <c:v>213.29156018835306</c:v>
                </c:pt>
                <c:pt idx="14">
                  <c:v>217.34084497070313</c:v>
                </c:pt>
                <c:pt idx="15">
                  <c:v>221.40051707738638</c:v>
                </c:pt>
                <c:pt idx="16">
                  <c:v>225.46927809286117</c:v>
                </c:pt>
                <c:pt idx="17">
                  <c:v>229.54582960158589</c:v>
                </c:pt>
                <c:pt idx="18">
                  <c:v>233.62887318801882</c:v>
                </c:pt>
                <c:pt idx="19">
                  <c:v>237.71711043661836</c:v>
                </c:pt>
                <c:pt idx="20">
                  <c:v>241.80924293184287</c:v>
                </c:pt>
                <c:pt idx="21">
                  <c:v>245.90397225815065</c:v>
                </c:pt>
                <c:pt idx="22">
                  <c:v>250.00000000000006</c:v>
                </c:pt>
                <c:pt idx="23">
                  <c:v>254.09602774184947</c:v>
                </c:pt>
                <c:pt idx="24">
                  <c:v>258.19075706815727</c:v>
                </c:pt>
                <c:pt idx="25">
                  <c:v>262.28288956338173</c:v>
                </c:pt>
                <c:pt idx="26">
                  <c:v>266.37112681198124</c:v>
                </c:pt>
                <c:pt idx="27">
                  <c:v>270.45417039841425</c:v>
                </c:pt>
                <c:pt idx="28">
                  <c:v>274.53072190713897</c:v>
                </c:pt>
                <c:pt idx="29">
                  <c:v>278.59948292261373</c:v>
                </c:pt>
                <c:pt idx="30">
                  <c:v>282.65915502929698</c:v>
                </c:pt>
                <c:pt idx="31">
                  <c:v>286.70843981164705</c:v>
                </c:pt>
                <c:pt idx="32">
                  <c:v>290.74603885412228</c:v>
                </c:pt>
                <c:pt idx="33">
                  <c:v>294.77065374118104</c:v>
                </c:pt>
                <c:pt idx="34">
                  <c:v>298.78098605728167</c:v>
                </c:pt>
                <c:pt idx="35">
                  <c:v>302.7757373868825</c:v>
                </c:pt>
                <c:pt idx="36">
                  <c:v>306.75360931444186</c:v>
                </c:pt>
                <c:pt idx="37">
                  <c:v>310.71330342441814</c:v>
                </c:pt>
                <c:pt idx="38">
                  <c:v>314.65352130126973</c:v>
                </c:pt>
                <c:pt idx="39">
                  <c:v>318.57296452945496</c:v>
                </c:pt>
                <c:pt idx="40">
                  <c:v>322.47033469343211</c:v>
                </c:pt>
                <c:pt idx="41">
                  <c:v>326.34433337765955</c:v>
                </c:pt>
                <c:pt idx="42">
                  <c:v>330.19366216659563</c:v>
                </c:pt>
                <c:pt idx="43">
                  <c:v>334.01702264469873</c:v>
                </c:pt>
                <c:pt idx="44">
                  <c:v>337.81311639642729</c:v>
                </c:pt>
                <c:pt idx="45">
                  <c:v>341.58064500623948</c:v>
                </c:pt>
                <c:pt idx="46">
                  <c:v>345.31831005859374</c:v>
                </c:pt>
                <c:pt idx="47">
                  <c:v>349.02481313794851</c:v>
                </c:pt>
                <c:pt idx="48">
                  <c:v>352.69885582876202</c:v>
                </c:pt>
                <c:pt idx="49">
                  <c:v>356.33913971549265</c:v>
                </c:pt>
                <c:pt idx="50">
                  <c:v>359.94436638259879</c:v>
                </c:pt>
                <c:pt idx="51">
                  <c:v>363.51323741453876</c:v>
                </c:pt>
                <c:pt idx="52">
                  <c:v>367.04445439577086</c:v>
                </c:pt>
                <c:pt idx="53">
                  <c:v>370.53671891075351</c:v>
                </c:pt>
                <c:pt idx="54">
                  <c:v>373.9887325439451</c:v>
                </c:pt>
                <c:pt idx="55">
                  <c:v>377.39919687980387</c:v>
                </c:pt>
                <c:pt idx="56">
                  <c:v>380.76681350278824</c:v>
                </c:pt>
                <c:pt idx="57">
                  <c:v>384.09028399735655</c:v>
                </c:pt>
                <c:pt idx="58">
                  <c:v>387.36830994796713</c:v>
                </c:pt>
                <c:pt idx="59">
                  <c:v>390.59959293907838</c:v>
                </c:pt>
                <c:pt idx="60">
                  <c:v>393.78283455514867</c:v>
                </c:pt>
                <c:pt idx="61">
                  <c:v>396.91673638063622</c:v>
                </c:pt>
                <c:pt idx="62">
                  <c:v>399.99999999999932</c:v>
                </c:pt>
                <c:pt idx="63">
                  <c:v>403.03184359939542</c:v>
                </c:pt>
                <c:pt idx="64">
                  <c:v>406.01355665956038</c:v>
                </c:pt>
                <c:pt idx="65">
                  <c:v>408.94694081910347</c:v>
                </c:pt>
                <c:pt idx="66">
                  <c:v>411.83380336106131</c:v>
                </c:pt>
                <c:pt idx="67">
                  <c:v>414.67594638839273</c:v>
                </c:pt>
                <c:pt idx="68">
                  <c:v>417.47517576838396</c:v>
                </c:pt>
                <c:pt idx="69">
                  <c:v>420.23329693492821</c:v>
                </c:pt>
                <c:pt idx="70">
                  <c:v>422.95211264107382</c:v>
                </c:pt>
                <c:pt idx="71">
                  <c:v>425.63342908637486</c:v>
                </c:pt>
                <c:pt idx="72">
                  <c:v>428.27904942631608</c:v>
                </c:pt>
                <c:pt idx="73">
                  <c:v>430.89077899418157</c:v>
                </c:pt>
                <c:pt idx="74">
                  <c:v>433.47042275177586</c:v>
                </c:pt>
                <c:pt idx="75">
                  <c:v>436.01978441180302</c:v>
                </c:pt>
                <c:pt idx="76">
                  <c:v>438.54066924511812</c:v>
                </c:pt>
                <c:pt idx="77">
                  <c:v>441.03488130494816</c:v>
                </c:pt>
                <c:pt idx="78">
                  <c:v>443.50424072675611</c:v>
                </c:pt>
                <c:pt idx="79">
                  <c:v>445.95050630128208</c:v>
                </c:pt>
                <c:pt idx="80">
                  <c:v>448.37552832246996</c:v>
                </c:pt>
                <c:pt idx="81">
                  <c:v>450.78108076968067</c:v>
                </c:pt>
                <c:pt idx="82">
                  <c:v>453.16901421546777</c:v>
                </c:pt>
                <c:pt idx="83">
                  <c:v>455.54108724754769</c:v>
                </c:pt>
                <c:pt idx="84">
                  <c:v>457.89911977462566</c:v>
                </c:pt>
                <c:pt idx="85">
                  <c:v>460.24491656425334</c:v>
                </c:pt>
                <c:pt idx="86">
                  <c:v>462.58028184224122</c:v>
                </c:pt>
                <c:pt idx="87">
                  <c:v>464.90702034905377</c:v>
                </c:pt>
                <c:pt idx="88">
                  <c:v>467.2269366631491</c:v>
                </c:pt>
                <c:pt idx="89">
                  <c:v>469.54183536298535</c:v>
                </c:pt>
                <c:pt idx="90">
                  <c:v>471.85352895772655</c:v>
                </c:pt>
                <c:pt idx="91">
                  <c:v>474.16379855282469</c:v>
                </c:pt>
                <c:pt idx="92">
                  <c:v>476.47447189688484</c:v>
                </c:pt>
                <c:pt idx="93">
                  <c:v>478.78734593897059</c:v>
                </c:pt>
                <c:pt idx="94">
                  <c:v>481.10422543915234</c:v>
                </c:pt>
                <c:pt idx="95">
                  <c:v>483.42691461846812</c:v>
                </c:pt>
                <c:pt idx="96">
                  <c:v>485.7572222375544</c:v>
                </c:pt>
                <c:pt idx="97">
                  <c:v>488.09694105013978</c:v>
                </c:pt>
                <c:pt idx="98">
                  <c:v>490.44788736628402</c:v>
                </c:pt>
                <c:pt idx="99">
                  <c:v>492.81186375971214</c:v>
                </c:pt>
                <c:pt idx="100">
                  <c:v>495.19066903446816</c:v>
                </c:pt>
                <c:pt idx="101">
                  <c:v>497.58611356627097</c:v>
                </c:pt>
                <c:pt idx="102">
                  <c:v>499.99999999999699</c:v>
                </c:pt>
                <c:pt idx="103">
                  <c:v>502.433626994777</c:v>
                </c:pt>
                <c:pt idx="104">
                  <c:v>504.88626748801289</c:v>
                </c:pt>
                <c:pt idx="105">
                  <c:v>507.35669023098819</c:v>
                </c:pt>
                <c:pt idx="106">
                  <c:v>509.84366177461646</c:v>
                </c:pt>
                <c:pt idx="107">
                  <c:v>512.3459506891636</c:v>
                </c:pt>
                <c:pt idx="108">
                  <c:v>514.86232407744558</c:v>
                </c:pt>
                <c:pt idx="109">
                  <c:v>517.39154921122872</c:v>
                </c:pt>
                <c:pt idx="110">
                  <c:v>519.93239440735397</c:v>
                </c:pt>
                <c:pt idx="111">
                  <c:v>522.4836266391095</c:v>
                </c:pt>
                <c:pt idx="112">
                  <c:v>525.04401406645434</c:v>
                </c:pt>
                <c:pt idx="113">
                  <c:v>527.61232400037488</c:v>
                </c:pt>
                <c:pt idx="114">
                  <c:v>530.18732389667196</c:v>
                </c:pt>
                <c:pt idx="115">
                  <c:v>532.76778169808358</c:v>
                </c:pt>
                <c:pt idx="116">
                  <c:v>535.352464739933</c:v>
                </c:pt>
                <c:pt idx="117">
                  <c:v>537.9401408322118</c:v>
                </c:pt>
                <c:pt idx="118">
                  <c:v>540.52957746390746</c:v>
                </c:pt>
                <c:pt idx="119">
                  <c:v>543.11954224468514</c:v>
                </c:pt>
                <c:pt idx="120">
                  <c:v>545.70880280351946</c:v>
                </c:pt>
                <c:pt idx="121">
                  <c:v>548.29612677742955</c:v>
                </c:pt>
                <c:pt idx="122">
                  <c:v>550.88028168677886</c:v>
                </c:pt>
                <c:pt idx="123">
                  <c:v>553.4600352203779</c:v>
                </c:pt>
                <c:pt idx="124">
                  <c:v>556.03415495561103</c:v>
                </c:pt>
                <c:pt idx="125">
                  <c:v>558.60140842400449</c:v>
                </c:pt>
                <c:pt idx="126">
                  <c:v>561.16056336827148</c:v>
                </c:pt>
                <c:pt idx="127">
                  <c:v>563.71038733049795</c:v>
                </c:pt>
                <c:pt idx="128">
                  <c:v>566.2496479159247</c:v>
                </c:pt>
                <c:pt idx="129">
                  <c:v>568.77711272979229</c:v>
                </c:pt>
                <c:pt idx="130">
                  <c:v>571.29154925988098</c:v>
                </c:pt>
                <c:pt idx="131">
                  <c:v>573.79172533941323</c:v>
                </c:pt>
                <c:pt idx="132">
                  <c:v>576.27640846371196</c:v>
                </c:pt>
                <c:pt idx="133">
                  <c:v>578.74436623801785</c:v>
                </c:pt>
                <c:pt idx="134">
                  <c:v>581.19436619677333</c:v>
                </c:pt>
                <c:pt idx="135">
                  <c:v>583.62517608455266</c:v>
                </c:pt>
                <c:pt idx="136">
                  <c:v>586.035563363341</c:v>
                </c:pt>
                <c:pt idx="137">
                  <c:v>588.42429578676354</c:v>
                </c:pt>
                <c:pt idx="138">
                  <c:v>590.79014084798052</c:v>
                </c:pt>
                <c:pt idx="139">
                  <c:v>593.13186619019643</c:v>
                </c:pt>
                <c:pt idx="140">
                  <c:v>595.44823943906636</c:v>
                </c:pt>
                <c:pt idx="141">
                  <c:v>597.73802817051035</c:v>
                </c:pt>
                <c:pt idx="142">
                  <c:v>599.99999999999602</c:v>
                </c:pt>
                <c:pt idx="143">
                  <c:v>602.23320811194617</c:v>
                </c:pt>
                <c:pt idx="144">
                  <c:v>604.43785300993261</c:v>
                </c:pt>
                <c:pt idx="145">
                  <c:v>606.61441500104263</c:v>
                </c:pt>
                <c:pt idx="146">
                  <c:v>608.76338021357549</c:v>
                </c:pt>
                <c:pt idx="147">
                  <c:v>610.88523280108586</c:v>
                </c:pt>
                <c:pt idx="148">
                  <c:v>612.98045840273187</c:v>
                </c:pt>
                <c:pt idx="149">
                  <c:v>615.04953810822667</c:v>
                </c:pt>
                <c:pt idx="150">
                  <c:v>617.09295765109368</c:v>
                </c:pt>
                <c:pt idx="151">
                  <c:v>619.11120118488759</c:v>
                </c:pt>
                <c:pt idx="152">
                  <c:v>621.10475398862013</c:v>
                </c:pt>
                <c:pt idx="153">
                  <c:v>623.07409787922302</c:v>
                </c:pt>
                <c:pt idx="154">
                  <c:v>625.01971822314761</c:v>
                </c:pt>
                <c:pt idx="155">
                  <c:v>626.94212969152636</c:v>
                </c:pt>
                <c:pt idx="156">
                  <c:v>628.84172567819428</c:v>
                </c:pt>
                <c:pt idx="157">
                  <c:v>630.71908022462867</c:v>
                </c:pt>
                <c:pt idx="158">
                  <c:v>632.57464784033414</c:v>
                </c:pt>
                <c:pt idx="159">
                  <c:v>634.40888272314987</c:v>
                </c:pt>
                <c:pt idx="160">
                  <c:v>636.22235938205131</c:v>
                </c:pt>
                <c:pt idx="161">
                  <c:v>638.01547105504062</c:v>
                </c:pt>
                <c:pt idx="162">
                  <c:v>639.78873241325027</c:v>
                </c:pt>
                <c:pt idx="163">
                  <c:v>641.54262788813617</c:v>
                </c:pt>
                <c:pt idx="164">
                  <c:v>643.27764101078844</c:v>
                </c:pt>
                <c:pt idx="165">
                  <c:v>644.9942562810561</c:v>
                </c:pt>
                <c:pt idx="166">
                  <c:v>646.69295785249358</c:v>
                </c:pt>
                <c:pt idx="167">
                  <c:v>648.3742299002987</c:v>
                </c:pt>
                <c:pt idx="168">
                  <c:v>650.03855647500325</c:v>
                </c:pt>
                <c:pt idx="169">
                  <c:v>651.68642181327232</c:v>
                </c:pt>
                <c:pt idx="170">
                  <c:v>653.31834058623883</c:v>
                </c:pt>
                <c:pt idx="171">
                  <c:v>654.93470518781169</c:v>
                </c:pt>
                <c:pt idx="172">
                  <c:v>656.53609168529181</c:v>
                </c:pt>
                <c:pt idx="173">
                  <c:v>658.12295340688627</c:v>
                </c:pt>
                <c:pt idx="174">
                  <c:v>659.6957747922753</c:v>
                </c:pt>
                <c:pt idx="175">
                  <c:v>661.25503966127224</c:v>
                </c:pt>
                <c:pt idx="176">
                  <c:v>662.80123255225124</c:v>
                </c:pt>
                <c:pt idx="177">
                  <c:v>664.33483718979437</c:v>
                </c:pt>
                <c:pt idx="178">
                  <c:v>665.85633820404405</c:v>
                </c:pt>
                <c:pt idx="179">
                  <c:v>667.36621923127723</c:v>
                </c:pt>
                <c:pt idx="180">
                  <c:v>668.86496498647853</c:v>
                </c:pt>
                <c:pt idx="181">
                  <c:v>670.35305902454547</c:v>
                </c:pt>
                <c:pt idx="182">
                  <c:v>671.8309861383791</c:v>
                </c:pt>
                <c:pt idx="183">
                  <c:v>673.29922980842377</c:v>
                </c:pt>
                <c:pt idx="184">
                  <c:v>674.75827489857045</c:v>
                </c:pt>
                <c:pt idx="185">
                  <c:v>676.20860482173657</c:v>
                </c:pt>
                <c:pt idx="186">
                  <c:v>677.65071976466652</c:v>
                </c:pt>
                <c:pt idx="187">
                  <c:v>679.08505730330853</c:v>
                </c:pt>
                <c:pt idx="188">
                  <c:v>680.51214798182457</c:v>
                </c:pt>
                <c:pt idx="189">
                  <c:v>681.93246049196466</c:v>
                </c:pt>
                <c:pt idx="190">
                  <c:v>683.34647898858168</c:v>
                </c:pt>
                <c:pt idx="191">
                  <c:v>684.75468762652895</c:v>
                </c:pt>
                <c:pt idx="192">
                  <c:v>686.15757056065956</c:v>
                </c:pt>
                <c:pt idx="193">
                  <c:v>687.5556119458264</c:v>
                </c:pt>
                <c:pt idx="194">
                  <c:v>688.94930356627731</c:v>
                </c:pt>
                <c:pt idx="195">
                  <c:v>690.33910656412388</c:v>
                </c:pt>
                <c:pt idx="196">
                  <c:v>691.72552823011154</c:v>
                </c:pt>
                <c:pt idx="197">
                  <c:v>693.10904496676426</c:v>
                </c:pt>
                <c:pt idx="198">
                  <c:v>694.49014474363253</c:v>
                </c:pt>
                <c:pt idx="199">
                  <c:v>695.86930020703403</c:v>
                </c:pt>
                <c:pt idx="200">
                  <c:v>697.2470089918786</c:v>
                </c:pt>
                <c:pt idx="201">
                  <c:v>698.62374657344787</c:v>
                </c:pt>
                <c:pt idx="202">
                  <c:v>700.00000000000023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47-421F-BD5D-9A249DF6FECE}"/>
            </c:ext>
          </c:extLst>
        </c:ser>
        <c:ser>
          <c:idx val="1"/>
          <c:order val="1"/>
          <c:tx>
            <c:v>points</c:v>
          </c:tx>
          <c:spPr>
            <a:ln>
              <a:noFill/>
            </a:ln>
          </c:spPr>
          <c:xVal>
            <c:numRef>
              <c:f>'Spreadsheet10.3 (new)'!$B$34:$B$38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10</c:v>
                </c:pt>
              </c:numCache>
            </c:numRef>
          </c:xVal>
          <c:yVal>
            <c:numRef>
              <c:f>'Spreadsheet10.3 (new)'!$C$11:$C$15</c:f>
              <c:numCache>
                <c:formatCode>0</c:formatCode>
                <c:ptCount val="5"/>
                <c:pt idx="0">
                  <c:v>250</c:v>
                </c:pt>
                <c:pt idx="1">
                  <c:v>400</c:v>
                </c:pt>
                <c:pt idx="2">
                  <c:v>500</c:v>
                </c:pt>
                <c:pt idx="3">
                  <c:v>600</c:v>
                </c:pt>
                <c:pt idx="4">
                  <c:v>700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47-421F-BD5D-9A249DF6FECE}"/>
            </c:ext>
          </c:extLst>
        </c:ser>
        <c:ser>
          <c:idx val="2"/>
          <c:order val="2"/>
          <c:tx>
            <c:v>Flat Curve</c:v>
          </c:tx>
          <c:marker>
            <c:symbol val="none"/>
          </c:marker>
          <c:xVal>
            <c:numRef>
              <c:f>'Spreadsheet10.3 (new)'!$B$33:$B$38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10</c:v>
                </c:pt>
              </c:numCache>
            </c:numRef>
          </c:xVal>
          <c:yVal>
            <c:numRef>
              <c:f>'Spreadsheet10.3 (new)'!$C$33:$C$38</c:f>
              <c:numCache>
                <c:formatCode>_-* #,##0_-;\-* #,##0_-;_-* "-"??_-;_-@_-</c:formatCode>
                <c:ptCount val="6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47-421F-BD5D-9A249DF6F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63328"/>
        <c:axId val="172965248"/>
      </c:scatterChart>
      <c:valAx>
        <c:axId val="172963328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>
            <c:manualLayout>
              <c:xMode val="edge"/>
              <c:yMode val="edge"/>
              <c:x val="0.47273708210716087"/>
              <c:y val="0.882100453809690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172965248"/>
        <c:crosses val="autoZero"/>
        <c:crossBetween val="midCat"/>
      </c:valAx>
      <c:valAx>
        <c:axId val="17296524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Credit spread (bps)</a:t>
                </a:r>
              </a:p>
            </c:rich>
          </c:tx>
          <c:layout>
            <c:manualLayout>
              <c:xMode val="edge"/>
              <c:yMode val="edge"/>
              <c:x val="2.6936026936026935E-2"/>
              <c:y val="0.17603423536260437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172963328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hyperlink" Target="http://www.oftrain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hyperlink" Target="http://www.oftraining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7</xdr:col>
      <xdr:colOff>104775</xdr:colOff>
      <xdr:row>7</xdr:row>
      <xdr:rowOff>0</xdr:rowOff>
    </xdr:to>
    <xdr:sp macro="" textlink="">
      <xdr:nvSpPr>
        <xdr:cNvPr id="2049" name="Text Box 1"/>
        <xdr:cNvSpPr txBox="1">
          <a:spLocks noChangeArrowheads="1"/>
        </xdr:cNvSpPr>
      </xdr:nvSpPr>
      <xdr:spPr bwMode="auto">
        <a:xfrm>
          <a:off x="0" y="9525"/>
          <a:ext cx="4933950" cy="112395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Historical Default Probabilities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Example of historical default probabilities by rating category using a transition matrix</a:t>
          </a:r>
        </a:p>
      </xdr:txBody>
    </xdr:sp>
    <xdr:clientData/>
  </xdr:twoCellAnchor>
  <xdr:twoCellAnchor>
    <xdr:from>
      <xdr:col>7</xdr:col>
      <xdr:colOff>228600</xdr:colOff>
      <xdr:row>2</xdr:row>
      <xdr:rowOff>114300</xdr:rowOff>
    </xdr:from>
    <xdr:to>
      <xdr:col>11</xdr:col>
      <xdr:colOff>209550</xdr:colOff>
      <xdr:row>5</xdr:row>
      <xdr:rowOff>66675</xdr:rowOff>
    </xdr:to>
    <xdr:sp macro="" textlink="">
      <xdr:nvSpPr>
        <xdr:cNvPr id="2050" name="Text Box 2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5057775" y="438150"/>
          <a:ext cx="256222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  <xdr:twoCellAnchor>
    <xdr:from>
      <xdr:col>10</xdr:col>
      <xdr:colOff>114300</xdr:colOff>
      <xdr:row>7</xdr:row>
      <xdr:rowOff>138112</xdr:rowOff>
    </xdr:from>
    <xdr:to>
      <xdr:col>16</xdr:col>
      <xdr:colOff>314325</xdr:colOff>
      <xdr:row>24</xdr:row>
      <xdr:rowOff>80962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114300</xdr:colOff>
      <xdr:row>24</xdr:row>
      <xdr:rowOff>47625</xdr:rowOff>
    </xdr:from>
    <xdr:to>
      <xdr:col>16</xdr:col>
      <xdr:colOff>314325</xdr:colOff>
      <xdr:row>41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</xdr:row>
          <xdr:rowOff>38100</xdr:rowOff>
        </xdr:from>
        <xdr:to>
          <xdr:col>8</xdr:col>
          <xdr:colOff>276225</xdr:colOff>
          <xdr:row>3</xdr:row>
          <xdr:rowOff>76200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11</xdr:col>
      <xdr:colOff>209550</xdr:colOff>
      <xdr:row>1</xdr:row>
      <xdr:rowOff>114300</xdr:rowOff>
    </xdr:from>
    <xdr:to>
      <xdr:col>16</xdr:col>
      <xdr:colOff>581025</xdr:colOff>
      <xdr:row>22</xdr:row>
      <xdr:rowOff>28575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10</xdr:col>
      <xdr:colOff>219074</xdr:colOff>
      <xdr:row>7</xdr:row>
      <xdr:rowOff>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0" y="9525"/>
          <a:ext cx="7019924" cy="112395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Credit Curve Shape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Example of default probability calculation for different credit curve shapes. Uses approximate default probability formula. Compares to a flat credit curve based on the 5-year point</a:t>
          </a:r>
        </a:p>
      </xdr:txBody>
    </xdr:sp>
    <xdr:clientData/>
  </xdr:twoCellAnchor>
  <xdr:twoCellAnchor>
    <xdr:from>
      <xdr:col>10</xdr:col>
      <xdr:colOff>314325</xdr:colOff>
      <xdr:row>2</xdr:row>
      <xdr:rowOff>114300</xdr:rowOff>
    </xdr:from>
    <xdr:to>
      <xdr:col>14</xdr:col>
      <xdr:colOff>9525</xdr:colOff>
      <xdr:row>5</xdr:row>
      <xdr:rowOff>66675</xdr:rowOff>
    </xdr:to>
    <xdr:sp macro="" textlink="">
      <xdr:nvSpPr>
        <xdr:cNvPr id="3" name="Text Box 2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7115175" y="438150"/>
          <a:ext cx="256222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  <xdr:twoCellAnchor>
    <xdr:from>
      <xdr:col>12</xdr:col>
      <xdr:colOff>380999</xdr:colOff>
      <xdr:row>21</xdr:row>
      <xdr:rowOff>123826</xdr:rowOff>
    </xdr:from>
    <xdr:to>
      <xdr:col>17</xdr:col>
      <xdr:colOff>723899</xdr:colOff>
      <xdr:row>36</xdr:row>
      <xdr:rowOff>95251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238124</xdr:colOff>
      <xdr:row>6</xdr:row>
      <xdr:rowOff>138114</xdr:rowOff>
    </xdr:from>
    <xdr:to>
      <xdr:col>17</xdr:col>
      <xdr:colOff>581024</xdr:colOff>
      <xdr:row>20</xdr:row>
      <xdr:rowOff>33339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TrainingCourses/LFSModernCreditDerivs/LFS_CDI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CntrptyRiskEuromoneyExamplesNew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nvertibleBondsandCSA/CB_CSA_Examples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QTinRM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JONGRE~1/LOCALS~1/Temp/Temporary%20Directory%204%20for%20QTinRM3and4.zip/EuromoneyExamples_FMforNQ_Day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rseSpreadsheets/CntrptyRiskEuromoneyOLD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JONGRE~1/LOCALS~1/Temp/Temporary%20Directory%204%20for%20QTinRM3and4.zip/EuromoneyExamples_FMforNQ_Day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JONGRE~1/LOCALS~1/Temp/Temporary%20Directory%204%20for%20QTinRM3and4.zip/EuromoneyExamples_FMforNQ_Day3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TrainingCourses/LFSRiskManagement/LFS_RM_Examples_Day2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StructuringandPricingCreditDerivs/CreditDerivsExample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JONGRE~1/LOCALS~1/Temp/Temporary%20Directory%204%20for%20QTinRM3and4.zip/QTinRM1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BNP_BasketCDOPricer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JONGRE~1/LOCALS~1/Temp/Temporary%20Directory%204%20for%20QTinRM3and4.zip/QTinRM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PricingExamples0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Book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TrainingCourses/StructuringandPricingCreditDerivs/CreditDerivsExamplesNew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QTinRM3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rseSpreadsheets/BilateralCntrptyRiskCalcs2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JONGRE~1/LOCALS~1/Temp/Temporary%20Directory%204%20for%20QTinRM3and4.zip/econ422PresentValueProblems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StructuringandPricingCreditDerivs/CreditDerivsExampl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fulExcelFormulas"/>
      <sheetName val="BlackModel"/>
      <sheetName val="BasketAnalytical"/>
      <sheetName val="IndexBasis"/>
      <sheetName val="HistoricalDefProbs"/>
      <sheetName val="Sheet1"/>
      <sheetName val="ImpliedDefProb"/>
      <sheetName val="CDSCntrptyRisk"/>
    </sheetNames>
    <sheetDataSet>
      <sheetData sheetId="0"/>
      <sheetData sheetId="1">
        <row r="13">
          <cell r="D13">
            <v>100</v>
          </cell>
        </row>
        <row r="14">
          <cell r="D14">
            <v>100</v>
          </cell>
        </row>
        <row r="20">
          <cell r="D20">
            <v>1.666666666666667E-2</v>
          </cell>
        </row>
        <row r="21">
          <cell r="D21">
            <v>0.96739522452573312</v>
          </cell>
        </row>
        <row r="24">
          <cell r="D24">
            <v>15.851941887820601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ExposureSim"/>
      <sheetName val="Netting"/>
      <sheetName val="HistoricalDefProbs"/>
      <sheetName val="CDSStripper"/>
      <sheetName val="PFE and Netting"/>
      <sheetName val="CVA"/>
      <sheetName val="EPEAllocation"/>
      <sheetName val="Impact of PV"/>
      <sheetName val="CollateralMarginCall"/>
      <sheetName val="Portfolio"/>
      <sheetName val="MonteCarlo"/>
      <sheetName val="CDSCntrptyRisk"/>
      <sheetName val="SimpleWrongWay"/>
    </sheetNames>
    <sheetDataSet>
      <sheetData sheetId="0" refreshError="1"/>
      <sheetData sheetId="1" refreshError="1"/>
      <sheetData sheetId="2" refreshError="1">
        <row r="8">
          <cell r="D8">
            <v>5</v>
          </cell>
        </row>
        <row r="9">
          <cell r="D9">
            <v>10</v>
          </cell>
        </row>
      </sheetData>
      <sheetData sheetId="3" refreshError="1"/>
      <sheetData sheetId="4" refreshError="1">
        <row r="9">
          <cell r="C9" t="str">
            <v>Hazard Rate</v>
          </cell>
          <cell r="H9" t="str">
            <v>Error</v>
          </cell>
        </row>
        <row r="10">
          <cell r="L10">
            <v>1.6391422743333293E-2</v>
          </cell>
        </row>
      </sheetData>
      <sheetData sheetId="5" refreshError="1"/>
      <sheetData sheetId="6" refreshError="1">
        <row r="8">
          <cell r="D8">
            <v>3.7499999999999999E-2</v>
          </cell>
        </row>
        <row r="13">
          <cell r="C13">
            <v>0.05</v>
          </cell>
        </row>
      </sheetData>
      <sheetData sheetId="7" refreshError="1">
        <row r="7">
          <cell r="H7">
            <v>1</v>
          </cell>
          <cell r="I7">
            <v>1</v>
          </cell>
        </row>
        <row r="19">
          <cell r="C19">
            <v>3.4165419432023327</v>
          </cell>
        </row>
        <row r="22">
          <cell r="C22">
            <v>-1.0229796438974148</v>
          </cell>
          <cell r="D22">
            <v>4.4427438893026583</v>
          </cell>
        </row>
        <row r="23">
          <cell r="C23">
            <v>3.4197642454052435</v>
          </cell>
        </row>
      </sheetData>
      <sheetData sheetId="8" refreshError="1">
        <row r="19">
          <cell r="C19">
            <v>3.6342645260068154E-2</v>
          </cell>
        </row>
      </sheetData>
      <sheetData sheetId="9" refreshError="1">
        <row r="6">
          <cell r="C6">
            <v>500000</v>
          </cell>
          <cell r="G6">
            <v>250000</v>
          </cell>
        </row>
        <row r="7">
          <cell r="C7">
            <v>0</v>
          </cell>
          <cell r="D7">
            <v>0</v>
          </cell>
          <cell r="G7">
            <v>10</v>
          </cell>
        </row>
        <row r="8">
          <cell r="C8">
            <v>0</v>
          </cell>
          <cell r="D8">
            <v>100000000</v>
          </cell>
          <cell r="G8">
            <v>10121971</v>
          </cell>
        </row>
        <row r="9">
          <cell r="C9">
            <v>500000</v>
          </cell>
          <cell r="G9">
            <v>1000</v>
          </cell>
        </row>
        <row r="10">
          <cell r="C10">
            <v>100000</v>
          </cell>
          <cell r="D10">
            <v>100000</v>
          </cell>
        </row>
        <row r="12">
          <cell r="C12">
            <v>500000</v>
          </cell>
        </row>
        <row r="13">
          <cell r="C13">
            <v>0</v>
          </cell>
        </row>
        <row r="14">
          <cell r="C14" t="str">
            <v>NO</v>
          </cell>
        </row>
      </sheetData>
      <sheetData sheetId="10" refreshError="1">
        <row r="8">
          <cell r="D8">
            <v>-1.795495199122906</v>
          </cell>
          <cell r="E8">
            <v>10</v>
          </cell>
          <cell r="F8">
            <v>15</v>
          </cell>
          <cell r="G8">
            <v>12.266794707366055</v>
          </cell>
          <cell r="J8">
            <v>0.99</v>
          </cell>
        </row>
        <row r="9">
          <cell r="J9">
            <v>1</v>
          </cell>
        </row>
        <row r="11">
          <cell r="J11">
            <v>0.1</v>
          </cell>
        </row>
      </sheetData>
      <sheetData sheetId="11" refreshError="1">
        <row r="8">
          <cell r="C8">
            <v>10000</v>
          </cell>
        </row>
      </sheetData>
      <sheetData sheetId="12" refreshError="1">
        <row r="7">
          <cell r="C7">
            <v>0.02</v>
          </cell>
        </row>
        <row r="8">
          <cell r="C8">
            <v>0.01</v>
          </cell>
        </row>
        <row r="9">
          <cell r="C9">
            <v>0.5</v>
          </cell>
        </row>
        <row r="13">
          <cell r="C13">
            <v>0.15351827510938598</v>
          </cell>
        </row>
        <row r="14">
          <cell r="C14">
            <v>7.9955585370676707E-2</v>
          </cell>
        </row>
      </sheetData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BondConvexity"/>
      <sheetName val="HistoricalDefProbs"/>
      <sheetName val="CDSStripper"/>
      <sheetName val="Merton"/>
      <sheetName val="CreditGrades"/>
      <sheetName val="CreditGradesFordExample"/>
      <sheetName val="TradingStrategy"/>
      <sheetName val="TreePricer"/>
      <sheetName val="UnderlyingValueTree"/>
      <sheetName val="OptionPriceTree"/>
      <sheetName val="HedgingSimulation"/>
      <sheetName val="CB_CSA_Examples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9">
          <cell r="C9">
            <v>0.57899999999999996</v>
          </cell>
        </row>
      </sheetData>
      <sheetData sheetId="6" refreshError="1"/>
      <sheetData sheetId="7">
        <row r="8">
          <cell r="C8">
            <v>2.19</v>
          </cell>
        </row>
        <row r="9">
          <cell r="C9">
            <v>937.19433315766491</v>
          </cell>
        </row>
        <row r="10">
          <cell r="C10">
            <v>20</v>
          </cell>
        </row>
      </sheetData>
      <sheetData sheetId="8">
        <row r="9">
          <cell r="C9" t="str">
            <v>Put</v>
          </cell>
        </row>
        <row r="10">
          <cell r="C10">
            <v>500</v>
          </cell>
        </row>
        <row r="11">
          <cell r="C11" t="str">
            <v>No</v>
          </cell>
        </row>
        <row r="14">
          <cell r="C14">
            <v>20</v>
          </cell>
        </row>
        <row r="18">
          <cell r="C18">
            <v>0.04</v>
          </cell>
        </row>
        <row r="22">
          <cell r="C22">
            <v>5.3165227466956866</v>
          </cell>
        </row>
        <row r="25">
          <cell r="C25">
            <v>24.428055163203396</v>
          </cell>
        </row>
        <row r="26">
          <cell r="C26">
            <v>0.17185624377065137</v>
          </cell>
        </row>
        <row r="27">
          <cell r="C27">
            <v>-0.27535735172930664</v>
          </cell>
        </row>
      </sheetData>
      <sheetData sheetId="9"/>
      <sheetData sheetId="10"/>
      <sheetData sheetId="11">
        <row r="4">
          <cell r="R4" t="str">
            <v>Simulation Results</v>
          </cell>
        </row>
        <row r="10">
          <cell r="L10">
            <v>1.7484008127580757</v>
          </cell>
        </row>
      </sheetData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UsefulExcelFormulas"/>
      <sheetName val="BinomialVsNormal"/>
      <sheetName val="RandomVariables"/>
      <sheetName val="CoherentRiskMeasuresExample"/>
      <sheetName val="ExponentialDampingEstimate"/>
      <sheetName val="TwoAssetsEfficientFrontier"/>
      <sheetName val="OptionPricer"/>
      <sheetName val="HedgingSimulation"/>
    </sheetNames>
    <sheetDataSet>
      <sheetData sheetId="0" refreshError="1"/>
      <sheetData sheetId="1" refreshError="1"/>
      <sheetData sheetId="2" refreshError="1">
        <row r="6">
          <cell r="C6">
            <v>0.1</v>
          </cell>
        </row>
        <row r="7">
          <cell r="C7">
            <v>100</v>
          </cell>
        </row>
      </sheetData>
      <sheetData sheetId="3" refreshError="1"/>
      <sheetData sheetId="4" refreshError="1">
        <row r="7">
          <cell r="I7">
            <v>5</v>
          </cell>
        </row>
        <row r="8">
          <cell r="I8">
            <v>10</v>
          </cell>
        </row>
        <row r="9">
          <cell r="I9">
            <v>2.5000000000000001E-2</v>
          </cell>
        </row>
      </sheetData>
      <sheetData sheetId="5" refreshError="1">
        <row r="6">
          <cell r="C6">
            <v>0.97</v>
          </cell>
        </row>
      </sheetData>
      <sheetData sheetId="6" refreshError="1"/>
      <sheetData sheetId="7" refreshError="1">
        <row r="7">
          <cell r="C7">
            <v>125</v>
          </cell>
        </row>
        <row r="8">
          <cell r="C8">
            <v>125</v>
          </cell>
        </row>
        <row r="9">
          <cell r="C9">
            <v>0.05</v>
          </cell>
        </row>
        <row r="20">
          <cell r="C20">
            <v>50</v>
          </cell>
        </row>
        <row r="21">
          <cell r="C21">
            <v>20</v>
          </cell>
        </row>
      </sheetData>
      <sheetData sheetId="8" refreshError="1">
        <row r="7">
          <cell r="C7">
            <v>100</v>
          </cell>
        </row>
        <row r="8">
          <cell r="G8">
            <v>0.25</v>
          </cell>
        </row>
        <row r="9">
          <cell r="G9">
            <v>4.0000000000000001E-3</v>
          </cell>
        </row>
        <row r="10">
          <cell r="C10">
            <v>0.25</v>
          </cell>
        </row>
        <row r="14">
          <cell r="C14">
            <v>0.125</v>
          </cell>
        </row>
        <row r="15">
          <cell r="C15">
            <v>-0.125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V functions"/>
      <sheetName val="YieldExample"/>
      <sheetName val="Bond Price with Excel"/>
      <sheetName val="TwoAssetsEfficientFrontier"/>
      <sheetName val="MeanVariance"/>
      <sheetName val="ValueAtRiskExample"/>
    </sheetNames>
    <sheetDataSet>
      <sheetData sheetId="0" refreshError="1"/>
      <sheetData sheetId="1">
        <row r="2">
          <cell r="C2">
            <v>95</v>
          </cell>
        </row>
        <row r="3">
          <cell r="C3">
            <v>0.06</v>
          </cell>
        </row>
        <row r="4">
          <cell r="C4">
            <v>0.05</v>
          </cell>
        </row>
      </sheetData>
      <sheetData sheetId="2">
        <row r="12">
          <cell r="B12">
            <v>0.1</v>
          </cell>
        </row>
        <row r="13">
          <cell r="B13">
            <v>0.15</v>
          </cell>
        </row>
        <row r="14">
          <cell r="B14">
            <v>37453</v>
          </cell>
        </row>
        <row r="15">
          <cell r="B15">
            <v>1</v>
          </cell>
        </row>
        <row r="16">
          <cell r="B16">
            <v>41744</v>
          </cell>
        </row>
        <row r="18">
          <cell r="B18">
            <v>11.747945205479452</v>
          </cell>
        </row>
        <row r="19">
          <cell r="B19">
            <v>37726</v>
          </cell>
        </row>
        <row r="23">
          <cell r="B23">
            <v>72.99011296894129</v>
          </cell>
        </row>
        <row r="24">
          <cell r="B24">
            <v>2.5205479452054798</v>
          </cell>
        </row>
        <row r="25">
          <cell r="B25">
            <v>75.510660914146769</v>
          </cell>
        </row>
        <row r="27">
          <cell r="B27">
            <v>5.6299835873505106</v>
          </cell>
        </row>
        <row r="58">
          <cell r="B58">
            <v>0.5</v>
          </cell>
        </row>
      </sheetData>
      <sheetData sheetId="3" refreshError="1"/>
      <sheetData sheetId="4">
        <row r="3">
          <cell r="C3">
            <v>0.25</v>
          </cell>
          <cell r="D3">
            <v>0.05</v>
          </cell>
          <cell r="E3">
            <v>0.05</v>
          </cell>
          <cell r="L3">
            <v>1</v>
          </cell>
        </row>
        <row r="4">
          <cell r="C4">
            <v>0.25</v>
          </cell>
          <cell r="D4">
            <v>7.4999999999999997E-2</v>
          </cell>
          <cell r="E4">
            <v>0.08</v>
          </cell>
          <cell r="L4">
            <v>1</v>
          </cell>
        </row>
        <row r="5">
          <cell r="C5">
            <v>0.25</v>
          </cell>
          <cell r="D5">
            <v>0.1</v>
          </cell>
          <cell r="E5">
            <v>0.1</v>
          </cell>
          <cell r="L5">
            <v>1</v>
          </cell>
        </row>
        <row r="6">
          <cell r="C6">
            <v>0.25</v>
          </cell>
          <cell r="D6">
            <v>0.2</v>
          </cell>
          <cell r="E6">
            <v>0.3</v>
          </cell>
          <cell r="L6">
            <v>1</v>
          </cell>
        </row>
        <row r="11">
          <cell r="G11">
            <v>1066.6666666666706</v>
          </cell>
          <cell r="H11">
            <v>333.3333333333357</v>
          </cell>
          <cell r="I11">
            <v>-800.00000000000477</v>
          </cell>
          <cell r="J11">
            <v>-266.66666666666856</v>
          </cell>
        </row>
        <row r="12">
          <cell r="G12">
            <v>333.33333333333451</v>
          </cell>
          <cell r="H12">
            <v>416.66666666666737</v>
          </cell>
          <cell r="I12">
            <v>-500.00000000000153</v>
          </cell>
          <cell r="J12">
            <v>-166.66666666666708</v>
          </cell>
        </row>
        <row r="13">
          <cell r="G13">
            <v>-800.00000000000318</v>
          </cell>
          <cell r="H13">
            <v>-500.00000000000188</v>
          </cell>
          <cell r="I13">
            <v>1028.5714285714325</v>
          </cell>
          <cell r="J13">
            <v>323.8095238095251</v>
          </cell>
        </row>
        <row r="14">
          <cell r="G14">
            <v>-266.66666666666771</v>
          </cell>
          <cell r="H14">
            <v>-166.66666666666728</v>
          </cell>
          <cell r="I14">
            <v>323.8095238095251</v>
          </cell>
          <cell r="J14">
            <v>114.28571428571472</v>
          </cell>
        </row>
        <row r="17">
          <cell r="O17">
            <v>29.107142857142875</v>
          </cell>
        </row>
        <row r="18">
          <cell r="G18">
            <v>0.70351758793969799</v>
          </cell>
          <cell r="J18">
            <v>0.10630000000000001</v>
          </cell>
          <cell r="K18">
            <v>0.26362532637075564</v>
          </cell>
          <cell r="O18">
            <v>9.4866071428571708</v>
          </cell>
        </row>
        <row r="19">
          <cell r="G19">
            <v>0.17587939698492436</v>
          </cell>
          <cell r="K19">
            <v>-6.0369886858137572E-2</v>
          </cell>
          <cell r="O19">
            <v>473.80952380952374</v>
          </cell>
        </row>
        <row r="20">
          <cell r="G20">
            <v>0.11055276381909603</v>
          </cell>
          <cell r="K20">
            <v>0.61702436901653646</v>
          </cell>
          <cell r="O20">
            <v>3647.6190476190595</v>
          </cell>
        </row>
        <row r="21">
          <cell r="G21">
            <v>1.0050251256281614E-2</v>
          </cell>
          <cell r="K21">
            <v>0.17972019147084439</v>
          </cell>
        </row>
        <row r="23">
          <cell r="O23">
            <v>1.7525179503916461E-3</v>
          </cell>
        </row>
        <row r="32">
          <cell r="C32">
            <v>5.4219927371326176E-3</v>
          </cell>
        </row>
      </sheetData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"/>
      <sheetName val="MonteCarlo"/>
      <sheetName val="Information"/>
      <sheetName val="ExposureSim"/>
      <sheetName val="Netting"/>
      <sheetName val="PFE and Netting"/>
      <sheetName val="Impact of PV"/>
      <sheetName val="EPEAllocation"/>
      <sheetName val="CollateralMarginCall"/>
      <sheetName val="CVA"/>
      <sheetName val="CDSCntrptyRisk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elFormulas"/>
      <sheetName val="VarCovarFormulas"/>
      <sheetName val="SimpleCovarianceWithWeights"/>
      <sheetName val="SimpleIntegration"/>
      <sheetName val="RandomVariablesandCorrelation"/>
    </sheetNames>
    <sheetDataSet>
      <sheetData sheetId="0" refreshError="1"/>
      <sheetData sheetId="1" refreshError="1"/>
      <sheetData sheetId="2">
        <row r="3">
          <cell r="J3">
            <v>0.5</v>
          </cell>
          <cell r="K3">
            <v>0.5</v>
          </cell>
        </row>
        <row r="6">
          <cell r="C6">
            <v>0.1</v>
          </cell>
        </row>
        <row r="7">
          <cell r="C7">
            <v>0.1</v>
          </cell>
        </row>
      </sheetData>
      <sheetData sheetId="3">
        <row r="2">
          <cell r="C2">
            <v>2</v>
          </cell>
        </row>
        <row r="3">
          <cell r="C3">
            <v>3</v>
          </cell>
        </row>
        <row r="4">
          <cell r="C4">
            <v>100</v>
          </cell>
        </row>
      </sheetData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ckScholesFormula"/>
      <sheetName val="Formulas"/>
      <sheetName val="MonteCarlo"/>
      <sheetName val="ControlVariate"/>
      <sheetName val="RandomNumbers"/>
    </sheetNames>
    <sheetDataSet>
      <sheetData sheetId="0"/>
      <sheetData sheetId="1"/>
      <sheetData sheetId="2">
        <row r="3">
          <cell r="C3">
            <v>100</v>
          </cell>
          <cell r="F3">
            <v>10</v>
          </cell>
        </row>
        <row r="4">
          <cell r="C4">
            <v>100</v>
          </cell>
          <cell r="F4">
            <v>1000</v>
          </cell>
        </row>
        <row r="5">
          <cell r="C5">
            <v>0.05</v>
          </cell>
          <cell r="F5">
            <v>0.1</v>
          </cell>
        </row>
        <row r="6">
          <cell r="C6">
            <v>1</v>
          </cell>
          <cell r="F6">
            <v>1.001876758911648</v>
          </cell>
        </row>
        <row r="7">
          <cell r="C7">
            <v>0.25</v>
          </cell>
          <cell r="F7">
            <v>7.9056941504209485E-2</v>
          </cell>
        </row>
      </sheetData>
      <sheetData sheetId="3"/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icalDefProbs"/>
      <sheetName val="BondReturnAnalysis"/>
      <sheetName val="Merton"/>
      <sheetName val="CreditGrades"/>
      <sheetName val="ImpliedDefProb"/>
      <sheetName val="Portfolio"/>
      <sheetName val="MonteCarlo"/>
      <sheetName val="HomogeneousApproximation"/>
      <sheetName val="ConDefProbs"/>
      <sheetName val="ConditionalNormalApproximation"/>
      <sheetName val="Recursion"/>
      <sheetName val="Compare"/>
      <sheetName val="PortfolioAnalysis"/>
    </sheetNames>
    <sheetDataSet>
      <sheetData sheetId="0" refreshError="1"/>
      <sheetData sheetId="1">
        <row r="13">
          <cell r="C13">
            <v>0.4</v>
          </cell>
        </row>
      </sheetData>
      <sheetData sheetId="2">
        <row r="21">
          <cell r="C21">
            <v>93.195042291177842</v>
          </cell>
        </row>
      </sheetData>
      <sheetData sheetId="3">
        <row r="11">
          <cell r="C11">
            <v>100</v>
          </cell>
        </row>
        <row r="12">
          <cell r="C12">
            <v>0.5</v>
          </cell>
        </row>
        <row r="13">
          <cell r="C13">
            <v>0.3</v>
          </cell>
        </row>
        <row r="14">
          <cell r="C14">
            <v>0.5</v>
          </cell>
        </row>
        <row r="15">
          <cell r="C15">
            <v>100</v>
          </cell>
        </row>
        <row r="16">
          <cell r="C16">
            <v>5</v>
          </cell>
        </row>
        <row r="19">
          <cell r="C19">
            <v>0.33333333333333331</v>
          </cell>
        </row>
        <row r="20">
          <cell r="C20">
            <v>0.80346471954626331</v>
          </cell>
        </row>
        <row r="21">
          <cell r="C21">
            <v>3.2825228511156315</v>
          </cell>
        </row>
      </sheetData>
      <sheetData sheetId="4" refreshError="1"/>
      <sheetData sheetId="5">
        <row r="10">
          <cell r="C10" t="str">
            <v>Notional</v>
          </cell>
          <cell r="E10" t="str">
            <v>Def Prob</v>
          </cell>
          <cell r="F10" t="str">
            <v>Recovery Rate</v>
          </cell>
        </row>
        <row r="12">
          <cell r="J12">
            <v>100</v>
          </cell>
        </row>
        <row r="13">
          <cell r="J13">
            <v>0.25</v>
          </cell>
        </row>
        <row r="14">
          <cell r="J14">
            <v>0</v>
          </cell>
        </row>
        <row r="15">
          <cell r="J15">
            <v>100</v>
          </cell>
        </row>
        <row r="16">
          <cell r="J16">
            <v>3.1738167886524525E-2</v>
          </cell>
        </row>
        <row r="20">
          <cell r="J20">
            <v>0</v>
          </cell>
        </row>
        <row r="21">
          <cell r="J21">
            <v>100</v>
          </cell>
        </row>
      </sheetData>
      <sheetData sheetId="6">
        <row r="11">
          <cell r="C11">
            <v>10000</v>
          </cell>
        </row>
        <row r="12">
          <cell r="C12">
            <v>10121971</v>
          </cell>
        </row>
        <row r="13">
          <cell r="C13">
            <v>10000</v>
          </cell>
        </row>
        <row r="15">
          <cell r="B15" t="str">
            <v>Simulation Output</v>
          </cell>
        </row>
      </sheetData>
      <sheetData sheetId="7" refreshError="1"/>
      <sheetData sheetId="8" refreshError="1"/>
      <sheetData sheetId="9">
        <row r="11">
          <cell r="C11">
            <v>0.23524240416376285</v>
          </cell>
        </row>
        <row r="13">
          <cell r="G13" t="str">
            <v>Marginal ES</v>
          </cell>
        </row>
      </sheetData>
      <sheetData sheetId="10">
        <row r="14">
          <cell r="F14">
            <v>-4.9985686338672064</v>
          </cell>
        </row>
        <row r="17">
          <cell r="E17">
            <v>0.99996345271982934</v>
          </cell>
        </row>
        <row r="121">
          <cell r="B121">
            <v>4.9985686338672064</v>
          </cell>
        </row>
        <row r="124">
          <cell r="CW124">
            <v>0.99996345271982934</v>
          </cell>
        </row>
      </sheetData>
      <sheetData sheetId="11" refreshError="1"/>
      <sheetData sheetId="12">
        <row r="10">
          <cell r="C10" t="str">
            <v>Current</v>
          </cell>
          <cell r="D10" t="str">
            <v>Old</v>
          </cell>
        </row>
        <row r="11">
          <cell r="C11">
            <v>23584.716618927952</v>
          </cell>
        </row>
        <row r="12">
          <cell r="C12">
            <v>0.23524240416376285</v>
          </cell>
        </row>
        <row r="15">
          <cell r="C15" t="str">
            <v>Marginal ES</v>
          </cell>
          <cell r="G15" t="str">
            <v>Old Portfolio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CDSStripper"/>
      <sheetName val="BaseCorrelation"/>
      <sheetName val="Bespoke"/>
    </sheetNames>
    <sheetDataSet>
      <sheetData sheetId="0"/>
      <sheetData sheetId="1"/>
      <sheetData sheetId="2"/>
      <sheetData sheetId="3"/>
      <sheetData sheetId="4"/>
      <sheetData sheetId="5" refreshError="1">
        <row r="8">
          <cell r="D8">
            <v>0.6</v>
          </cell>
        </row>
      </sheetData>
      <sheetData sheetId="6" refreshError="1">
        <row r="8">
          <cell r="D8">
            <v>110</v>
          </cell>
        </row>
        <row r="10">
          <cell r="D10">
            <v>4.3</v>
          </cell>
        </row>
      </sheetData>
      <sheetData sheetId="7" refreshError="1">
        <row r="7">
          <cell r="I7">
            <v>0.4</v>
          </cell>
        </row>
        <row r="10">
          <cell r="I10">
            <v>146.43600646972706</v>
          </cell>
        </row>
      </sheetData>
      <sheetData sheetId="8"/>
      <sheetData sheetId="9"/>
      <sheetData sheetId="10"/>
      <sheetData sheetId="11"/>
      <sheetData sheetId="1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UsefulExcelFormulas"/>
      <sheetName val="BinomialVsNormal"/>
      <sheetName val="RandomVariables"/>
      <sheetName val="CoherentRiskMeasuresExample"/>
      <sheetName val="ExponentialDampingEstimate"/>
      <sheetName val="TwoAssetsEfficientFrontier"/>
      <sheetName val="OptionPricer"/>
      <sheetName val="HedgingSimul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">
          <cell r="C6">
            <v>0.97</v>
          </cell>
        </row>
      </sheetData>
      <sheetData sheetId="6">
        <row r="7">
          <cell r="C7">
            <v>0.05</v>
          </cell>
        </row>
        <row r="8">
          <cell r="C8">
            <v>0.1</v>
          </cell>
        </row>
      </sheetData>
      <sheetData sheetId="7"/>
      <sheetData sheetId="8">
        <row r="7">
          <cell r="G7">
            <v>0.1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Basket"/>
      <sheetName val="CDO"/>
    </sheetNames>
    <sheetDataSet>
      <sheetData sheetId="0"/>
      <sheetData sheetId="1"/>
      <sheetData sheetId="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ComputingVolatility"/>
      <sheetName val="Data"/>
      <sheetName val="VarCovarExample"/>
      <sheetName val="HistoricalSimulation"/>
      <sheetName val="MonteCarloSimulation"/>
      <sheetName val="CompareA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ketPricer"/>
      <sheetName val="CDSStripper"/>
      <sheetName val="IndexBasis"/>
      <sheetName val="DefTime"/>
      <sheetName val="NumDefaults"/>
      <sheetName val="Survival"/>
      <sheetName val="Mapping"/>
    </sheetNames>
    <sheetDataSet>
      <sheetData sheetId="0"/>
      <sheetData sheetId="1" refreshError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Sheet1"/>
      <sheetName val="Sheet2"/>
      <sheetName val="Sheet3"/>
    </sheetNames>
    <sheetDataSet>
      <sheetData sheetId="0">
        <row r="4">
          <cell r="D4">
            <v>0.1</v>
          </cell>
        </row>
      </sheetData>
      <sheetData sheetId="1"/>
      <sheetData sheetId="2"/>
      <sheetData sheetId="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ImpliedDefProb"/>
      <sheetName val="BaseCorrelation"/>
      <sheetName val="Bespoke"/>
    </sheetNames>
    <sheetDataSet>
      <sheetData sheetId="0" refreshError="1"/>
      <sheetData sheetId="1" refreshError="1"/>
      <sheetData sheetId="2" refreshError="1"/>
      <sheetData sheetId="3">
        <row r="13">
          <cell r="C13">
            <v>1</v>
          </cell>
        </row>
      </sheetData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>
        <row r="16">
          <cell r="C16" t="str">
            <v>Linear</v>
          </cell>
        </row>
      </sheetData>
      <sheetData sheetId="1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Portfolio"/>
      <sheetName val="MonteCarlo"/>
      <sheetName val="HomogeneousApproximation"/>
      <sheetName val="ConditionalNormalApproximation"/>
      <sheetName val="Recursion"/>
      <sheetName val="Compare"/>
      <sheetName val="IntegrationPoin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8">
          <cell r="G8">
            <v>100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ndomNumbers"/>
      <sheetName val="RandomVariables"/>
      <sheetName val="Sheet1"/>
      <sheetName val="Sheet2"/>
      <sheetName val="Exposure"/>
      <sheetName val="Sheet3"/>
      <sheetName val="Sheet4"/>
      <sheetName val="Credit"/>
      <sheetName val="Results"/>
      <sheetName val="Batch"/>
    </sheetNames>
    <sheetDataSet>
      <sheetData sheetId="0">
        <row r="4">
          <cell r="B4">
            <v>0.1668250983026931</v>
          </cell>
          <cell r="H4">
            <v>-0.19375268532755768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 Problems"/>
      <sheetName val="PV functions"/>
      <sheetName val="Sheet3"/>
    </sheetNames>
    <sheetDataSet>
      <sheetData sheetId="0">
        <row r="39">
          <cell r="G39">
            <v>10000000</v>
          </cell>
          <cell r="H39">
            <v>0.05</v>
          </cell>
        </row>
      </sheetData>
      <sheetData sheetId="1" refreshError="1"/>
      <sheetData sheetId="2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CDSStripper"/>
      <sheetName val="BaseCorrelation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 refreshError="1"/>
      <sheetData sheetId="9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G732"/>
  <sheetViews>
    <sheetView showGridLines="0" workbookViewId="0">
      <pane ySplit="7" topLeftCell="A8" activePane="bottomLeft" state="frozen"/>
      <selection pane="bottomLeft" activeCell="D14" sqref="D14"/>
    </sheetView>
  </sheetViews>
  <sheetFormatPr defaultRowHeight="12.75" x14ac:dyDescent="0.2"/>
  <cols>
    <col min="2" max="2" width="14" style="2" customWidth="1"/>
    <col min="3" max="10" width="9.85546875" style="2" customWidth="1"/>
    <col min="11" max="11" width="9.140625" style="2"/>
    <col min="12" max="20" width="11.28515625" style="2" bestFit="1" customWidth="1"/>
    <col min="21" max="42" width="12.28515625" style="2" bestFit="1" customWidth="1"/>
    <col min="43" max="110" width="12.28515625" bestFit="1" customWidth="1"/>
    <col min="111" max="111" width="13.42578125" bestFit="1" customWidth="1"/>
  </cols>
  <sheetData>
    <row r="1" spans="1:111" x14ac:dyDescent="0.2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</row>
    <row r="2" spans="1:111" x14ac:dyDescent="0.2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</row>
    <row r="3" spans="1:111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</row>
    <row r="4" spans="1:111" x14ac:dyDescent="0.2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</row>
    <row r="5" spans="1:111" x14ac:dyDescent="0.2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</row>
    <row r="6" spans="1:111" x14ac:dyDescent="0.2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</row>
    <row r="7" spans="1:111" x14ac:dyDescent="0.2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</row>
    <row r="8" spans="1:111" x14ac:dyDescent="0.2">
      <c r="A8" s="8"/>
      <c r="B8" s="8"/>
      <c r="C8" s="8"/>
      <c r="D8" s="8"/>
      <c r="E8" s="8"/>
      <c r="F8" s="8"/>
      <c r="G8" s="8"/>
      <c r="H8" s="8"/>
      <c r="I8" s="8"/>
      <c r="J8" s="8"/>
      <c r="K8" s="9"/>
      <c r="L8" s="9"/>
      <c r="M8" s="9"/>
      <c r="N8" s="9"/>
      <c r="O8" s="9"/>
      <c r="P8" s="9"/>
      <c r="Q8" s="9"/>
      <c r="R8" s="9"/>
      <c r="S8" s="9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/>
      <c r="AF8"/>
      <c r="AG8"/>
      <c r="AH8"/>
      <c r="AI8"/>
      <c r="AJ8"/>
      <c r="AK8"/>
      <c r="AL8"/>
      <c r="AM8"/>
      <c r="AN8"/>
      <c r="AO8"/>
      <c r="AP8"/>
    </row>
    <row r="9" spans="1:111" s="2" customFormat="1" ht="13.5" thickBot="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1"/>
      <c r="L9" s="11"/>
      <c r="M9" s="11">
        <v>1</v>
      </c>
      <c r="N9" s="11">
        <v>2</v>
      </c>
      <c r="O9" s="11">
        <v>3</v>
      </c>
      <c r="P9" s="12">
        <v>4</v>
      </c>
      <c r="Q9" s="12">
        <v>5</v>
      </c>
      <c r="R9" s="12">
        <v>6</v>
      </c>
      <c r="S9" s="12">
        <v>7</v>
      </c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</row>
    <row r="10" spans="1:111" s="2" customFormat="1" ht="13.5" thickBot="1" x14ac:dyDescent="0.25">
      <c r="A10" s="10"/>
      <c r="B10" s="13">
        <v>1</v>
      </c>
      <c r="C10" s="14" t="s">
        <v>0</v>
      </c>
      <c r="D10" s="14" t="s">
        <v>1</v>
      </c>
      <c r="E10" s="14" t="s">
        <v>2</v>
      </c>
      <c r="F10" s="14" t="s">
        <v>3</v>
      </c>
      <c r="G10" s="14" t="s">
        <v>4</v>
      </c>
      <c r="H10" s="14" t="s">
        <v>5</v>
      </c>
      <c r="I10" s="14" t="s">
        <v>6</v>
      </c>
      <c r="J10" s="15" t="s">
        <v>7</v>
      </c>
      <c r="K10" s="16"/>
      <c r="L10" s="17"/>
      <c r="M10" s="18" t="str">
        <f t="array" ref="M10:S10">TRANSPOSE(B11:B17)</f>
        <v>AAA</v>
      </c>
      <c r="N10" s="17" t="str">
        <v>AA</v>
      </c>
      <c r="O10" s="18" t="str">
        <v>A</v>
      </c>
      <c r="P10" s="17" t="str">
        <v>BBB</v>
      </c>
      <c r="Q10" s="18" t="str">
        <v>BB</v>
      </c>
      <c r="R10" s="17" t="str">
        <v>B</v>
      </c>
      <c r="S10" s="19" t="str">
        <v>CCC</v>
      </c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</row>
    <row r="11" spans="1:111" s="2" customFormat="1" x14ac:dyDescent="0.2">
      <c r="A11" s="10"/>
      <c r="B11" s="21" t="s">
        <v>0</v>
      </c>
      <c r="C11" s="89">
        <v>0.93400000000000005</v>
      </c>
      <c r="D11" s="89">
        <v>5.9400000000000001E-2</v>
      </c>
      <c r="E11" s="89">
        <v>6.4000000000000003E-3</v>
      </c>
      <c r="F11" s="89">
        <v>0</v>
      </c>
      <c r="G11" s="89">
        <v>2.0000000000000001E-4</v>
      </c>
      <c r="H11" s="89">
        <v>0</v>
      </c>
      <c r="I11" s="89">
        <v>0</v>
      </c>
      <c r="J11" s="6">
        <f t="shared" ref="J11:J17" si="0">1-SUM(C11:I11)</f>
        <v>0</v>
      </c>
      <c r="K11" s="16"/>
      <c r="L11" s="22">
        <v>1</v>
      </c>
      <c r="M11" s="23">
        <f ca="1">OFFSET($J$10,($L11-1)*9+M$9,0,1,1)</f>
        <v>0</v>
      </c>
      <c r="N11" s="24">
        <f t="shared" ref="N11:S20" ca="1" si="1">OFFSET($J$10,($L11-1)*9+N$9,0,1,1)</f>
        <v>1.9999999999997797E-4</v>
      </c>
      <c r="O11" s="23">
        <f t="shared" ca="1" si="1"/>
        <v>0</v>
      </c>
      <c r="P11" s="24">
        <f t="shared" ca="1" si="1"/>
        <v>1.4999999999999458E-3</v>
      </c>
      <c r="Q11" s="23">
        <f t="shared" ca="1" si="1"/>
        <v>1.2900000000000023E-2</v>
      </c>
      <c r="R11" s="24">
        <f t="shared" ca="1" si="1"/>
        <v>6.8100000000000049E-2</v>
      </c>
      <c r="S11" s="25">
        <f t="shared" ca="1" si="1"/>
        <v>0.24050000000000005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</row>
    <row r="12" spans="1:111" s="2" customFormat="1" x14ac:dyDescent="0.2">
      <c r="A12" s="10"/>
      <c r="B12" s="21" t="s">
        <v>1</v>
      </c>
      <c r="C12" s="89">
        <v>1.61E-2</v>
      </c>
      <c r="D12" s="89">
        <v>0.90549999999999997</v>
      </c>
      <c r="E12" s="89">
        <v>7.46E-2</v>
      </c>
      <c r="F12" s="89">
        <v>2.5999999999999999E-3</v>
      </c>
      <c r="G12" s="89">
        <v>8.9999999999999998E-4</v>
      </c>
      <c r="H12" s="89">
        <v>1E-4</v>
      </c>
      <c r="I12" s="89">
        <v>0</v>
      </c>
      <c r="J12" s="6">
        <f t="shared" si="0"/>
        <v>1.9999999999997797E-4</v>
      </c>
      <c r="K12" s="16"/>
      <c r="L12" s="22">
        <f>L11+1</f>
        <v>2</v>
      </c>
      <c r="M12" s="26">
        <f t="shared" ref="M12:M20" ca="1" si="2">OFFSET($J$10,($L12-1)*9+M$9,0,1,1)</f>
        <v>1.4459999999827389E-5</v>
      </c>
      <c r="N12" s="24">
        <f t="shared" ca="1" si="1"/>
        <v>4.0342000000004319E-4</v>
      </c>
      <c r="O12" s="23">
        <f t="shared" ca="1" si="1"/>
        <v>2.3783000000010546E-4</v>
      </c>
      <c r="P12" s="24">
        <f t="shared" ca="1" si="1"/>
        <v>4.1176699999998512E-3</v>
      </c>
      <c r="Q12" s="23">
        <f t="shared" ca="1" si="1"/>
        <v>2.8790800000000005E-2</v>
      </c>
      <c r="R12" s="24">
        <f t="shared" ca="1" si="1"/>
        <v>0.13087470000000001</v>
      </c>
      <c r="S12" s="25">
        <f t="shared" ca="1" si="1"/>
        <v>0.40997823</v>
      </c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</row>
    <row r="13" spans="1:111" s="2" customFormat="1" x14ac:dyDescent="0.2">
      <c r="A13" s="10"/>
      <c r="B13" s="21" t="s">
        <v>2</v>
      </c>
      <c r="C13" s="89">
        <v>6.9999999999999999E-4</v>
      </c>
      <c r="D13" s="89">
        <v>2.2800000000000001E-2</v>
      </c>
      <c r="E13" s="89">
        <v>0.9244</v>
      </c>
      <c r="F13" s="89">
        <v>4.6300000000000001E-2</v>
      </c>
      <c r="G13" s="89">
        <v>4.4999999999999997E-3</v>
      </c>
      <c r="H13" s="89">
        <v>1.1999999999999999E-3</v>
      </c>
      <c r="I13" s="89">
        <v>1E-4</v>
      </c>
      <c r="J13" s="6">
        <f t="shared" si="0"/>
        <v>0</v>
      </c>
      <c r="K13" s="16"/>
      <c r="L13" s="22">
        <f t="shared" ref="L13:L20" si="3">L12+1</f>
        <v>3</v>
      </c>
      <c r="M13" s="26">
        <f t="shared" ca="1" si="2"/>
        <v>4.4749059999849017E-5</v>
      </c>
      <c r="N13" s="24">
        <f t="shared" ca="1" si="1"/>
        <v>6.3297686599983471E-4</v>
      </c>
      <c r="O13" s="23">
        <f t="shared" ca="1" si="1"/>
        <v>7.4731233400004982E-4</v>
      </c>
      <c r="P13" s="24">
        <f t="shared" ca="1" si="1"/>
        <v>7.7851100049997068E-3</v>
      </c>
      <c r="Q13" s="23">
        <f t="shared" ca="1" si="1"/>
        <v>4.6854402061999978E-2</v>
      </c>
      <c r="R13" s="24">
        <f t="shared" ca="1" si="1"/>
        <v>0.18800417829799998</v>
      </c>
      <c r="S13" s="25">
        <f t="shared" ca="1" si="1"/>
        <v>0.53016036387400001</v>
      </c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</row>
    <row r="14" spans="1:111" s="2" customFormat="1" x14ac:dyDescent="0.2">
      <c r="A14" s="10"/>
      <c r="B14" s="21" t="s">
        <v>3</v>
      </c>
      <c r="C14" s="89">
        <v>5.0000000000000001E-4</v>
      </c>
      <c r="D14" s="89">
        <v>2.5999999999999999E-3</v>
      </c>
      <c r="E14" s="89">
        <v>5.5100000000000003E-2</v>
      </c>
      <c r="F14" s="89">
        <v>0.88480000000000003</v>
      </c>
      <c r="G14" s="89">
        <v>4.7600000000000003E-2</v>
      </c>
      <c r="H14" s="89">
        <v>7.1000000000000004E-3</v>
      </c>
      <c r="I14" s="89">
        <v>8.0000000000000004E-4</v>
      </c>
      <c r="J14" s="6">
        <f t="shared" si="0"/>
        <v>1.4999999999999458E-3</v>
      </c>
      <c r="K14" s="16"/>
      <c r="L14" s="22">
        <f t="shared" si="3"/>
        <v>4</v>
      </c>
      <c r="M14" s="26">
        <f t="shared" ca="1" si="2"/>
        <v>9.354812723028072E-5</v>
      </c>
      <c r="N14" s="24">
        <f t="shared" ca="1" si="1"/>
        <v>9.1084117784390184E-4</v>
      </c>
      <c r="O14" s="23">
        <f t="shared" ca="1" si="1"/>
        <v>1.5551951712919898E-3</v>
      </c>
      <c r="P14" s="24">
        <f t="shared" ca="1" si="1"/>
        <v>1.2420337851574925E-2</v>
      </c>
      <c r="Q14" s="23">
        <f t="shared" ca="1" si="1"/>
        <v>6.6409768469099517E-2</v>
      </c>
      <c r="R14" s="24">
        <f t="shared" ca="1" si="1"/>
        <v>0.23958170073431373</v>
      </c>
      <c r="S14" s="25">
        <f t="shared" ca="1" si="1"/>
        <v>0.61605032519966851</v>
      </c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</row>
    <row r="15" spans="1:111" s="2" customFormat="1" x14ac:dyDescent="0.2">
      <c r="A15" s="10"/>
      <c r="B15" s="21" t="s">
        <v>4</v>
      </c>
      <c r="C15" s="89">
        <v>2.0000000000000001E-4</v>
      </c>
      <c r="D15" s="89">
        <v>5.0000000000000001E-4</v>
      </c>
      <c r="E15" s="89">
        <v>4.1999999999999997E-3</v>
      </c>
      <c r="F15" s="89">
        <v>5.16E-2</v>
      </c>
      <c r="G15" s="89">
        <v>0.86909999999999998</v>
      </c>
      <c r="H15" s="89">
        <v>5.91E-2</v>
      </c>
      <c r="I15" s="89">
        <v>2.3999999999999998E-3</v>
      </c>
      <c r="J15" s="6">
        <f t="shared" si="0"/>
        <v>1.2900000000000023E-2</v>
      </c>
      <c r="K15" s="16"/>
      <c r="L15" s="22">
        <f t="shared" si="3"/>
        <v>5</v>
      </c>
      <c r="M15" s="26">
        <f t="shared" ca="1" si="2"/>
        <v>1.6471311958687895E-4</v>
      </c>
      <c r="N15" s="24">
        <f t="shared" ca="1" si="1"/>
        <v>1.2583102112742051E-3</v>
      </c>
      <c r="O15" s="23">
        <f t="shared" ca="1" si="1"/>
        <v>2.6814637529263274E-3</v>
      </c>
      <c r="P15" s="24">
        <f t="shared" ca="1" si="1"/>
        <v>1.7932596460640049E-2</v>
      </c>
      <c r="Q15" s="23">
        <f t="shared" ca="1" si="1"/>
        <v>8.6902424453446758E-2</v>
      </c>
      <c r="R15" s="24">
        <f t="shared" ca="1" si="1"/>
        <v>0.28592874578213279</v>
      </c>
      <c r="S15" s="25">
        <f t="shared" ca="1" si="1"/>
        <v>0.6780201647764269</v>
      </c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</row>
    <row r="16" spans="1:111" s="2" customFormat="1" x14ac:dyDescent="0.2">
      <c r="A16" s="10"/>
      <c r="B16" s="21" t="s">
        <v>5</v>
      </c>
      <c r="C16" s="89">
        <v>0</v>
      </c>
      <c r="D16" s="89">
        <v>4.0000000000000002E-4</v>
      </c>
      <c r="E16" s="89">
        <v>1.2999999999999999E-3</v>
      </c>
      <c r="F16" s="89">
        <v>5.4000000000000003E-3</v>
      </c>
      <c r="G16" s="89">
        <v>6.3500000000000001E-2</v>
      </c>
      <c r="H16" s="89">
        <v>0.84219999999999995</v>
      </c>
      <c r="I16" s="89">
        <v>1.9099999999999999E-2</v>
      </c>
      <c r="J16" s="6">
        <f t="shared" si="0"/>
        <v>6.8100000000000049E-2</v>
      </c>
      <c r="K16" s="16"/>
      <c r="L16" s="22">
        <f t="shared" si="3"/>
        <v>6</v>
      </c>
      <c r="M16" s="26">
        <f t="shared" ca="1" si="2"/>
        <v>2.6312753315349546E-4</v>
      </c>
      <c r="N16" s="24">
        <f t="shared" ca="1" si="1"/>
        <v>1.6955187808863625E-3</v>
      </c>
      <c r="O16" s="23">
        <f t="shared" ca="1" si="1"/>
        <v>4.139806502790222E-3</v>
      </c>
      <c r="P16" s="24">
        <f t="shared" ca="1" si="1"/>
        <v>2.4226929595127955E-2</v>
      </c>
      <c r="Q16" s="23">
        <f t="shared" ca="1" si="1"/>
        <v>0.10788978058653886</v>
      </c>
      <c r="R16" s="24">
        <f t="shared" ca="1" si="1"/>
        <v>0.32747850404558665</v>
      </c>
      <c r="S16" s="25">
        <f t="shared" ca="1" si="1"/>
        <v>0.72324852865255007</v>
      </c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</row>
    <row r="17" spans="1:111" s="2" customFormat="1" ht="13.5" thickBot="1" x14ac:dyDescent="0.25">
      <c r="A17" s="10"/>
      <c r="B17" s="27" t="s">
        <v>6</v>
      </c>
      <c r="C17" s="90">
        <v>0</v>
      </c>
      <c r="D17" s="90">
        <v>0</v>
      </c>
      <c r="E17" s="90">
        <v>0</v>
      </c>
      <c r="F17" s="90">
        <v>6.1999999999999998E-3</v>
      </c>
      <c r="G17" s="90">
        <v>2.0500000000000001E-2</v>
      </c>
      <c r="H17" s="90">
        <v>4.0800000000000003E-2</v>
      </c>
      <c r="I17" s="90">
        <v>0.69199999999999995</v>
      </c>
      <c r="J17" s="7">
        <f t="shared" si="0"/>
        <v>0.24050000000000005</v>
      </c>
      <c r="K17" s="16"/>
      <c r="L17" s="22">
        <f t="shared" si="3"/>
        <v>7</v>
      </c>
      <c r="M17" s="26">
        <f t="shared" ca="1" si="2"/>
        <v>3.9454764928503749E-4</v>
      </c>
      <c r="N17" s="24">
        <f t="shared" ca="1" si="1"/>
        <v>2.2411968443643016E-3</v>
      </c>
      <c r="O17" s="23">
        <f t="shared" ca="1" si="1"/>
        <v>5.93818905927046E-3</v>
      </c>
      <c r="P17" s="24">
        <f t="shared" ca="1" si="1"/>
        <v>3.1207880314234604E-2</v>
      </c>
      <c r="Q17" s="23">
        <f t="shared" ca="1" si="1"/>
        <v>0.12902518150493869</v>
      </c>
      <c r="R17" s="24">
        <f t="shared" ca="1" si="1"/>
        <v>0.36470432944748177</v>
      </c>
      <c r="S17" s="25">
        <f t="shared" ca="1" si="1"/>
        <v>0.75671105225813839</v>
      </c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</row>
    <row r="18" spans="1:111" s="2" customFormat="1" ht="13.5" thickBot="1" x14ac:dyDescent="0.25">
      <c r="A18" s="10"/>
      <c r="B18" s="28"/>
      <c r="C18" s="28"/>
      <c r="D18" s="120"/>
      <c r="E18" s="120"/>
      <c r="F18" s="120"/>
      <c r="G18" s="10"/>
      <c r="H18" s="10"/>
      <c r="I18" s="10"/>
      <c r="J18" s="10"/>
      <c r="K18" s="16"/>
      <c r="L18" s="22">
        <f t="shared" si="3"/>
        <v>8</v>
      </c>
      <c r="M18" s="26">
        <f t="shared" ca="1" si="2"/>
        <v>5.6544404326774877E-4</v>
      </c>
      <c r="N18" s="24">
        <f t="shared" ca="1" si="1"/>
        <v>2.9124784486630473E-3</v>
      </c>
      <c r="O18" s="23">
        <f t="shared" ca="1" si="1"/>
        <v>8.0794919136797372E-3</v>
      </c>
      <c r="P18" s="24">
        <f t="shared" ca="1" si="1"/>
        <v>3.8782319325339265E-2</v>
      </c>
      <c r="Q18" s="23">
        <f t="shared" ca="1" si="1"/>
        <v>0.15004238416792326</v>
      </c>
      <c r="R18" s="24">
        <f t="shared" ca="1" si="1"/>
        <v>0.39807740506257472</v>
      </c>
      <c r="S18" s="25">
        <f t="shared" ca="1" si="1"/>
        <v>0.78186248988288853</v>
      </c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</row>
    <row r="19" spans="1:111" s="2" customFormat="1" x14ac:dyDescent="0.2">
      <c r="A19" s="10"/>
      <c r="B19" s="13">
        <f>B10+1</f>
        <v>2</v>
      </c>
      <c r="C19" s="14" t="s">
        <v>0</v>
      </c>
      <c r="D19" s="14" t="s">
        <v>1</v>
      </c>
      <c r="E19" s="14" t="s">
        <v>2</v>
      </c>
      <c r="F19" s="14" t="s">
        <v>3</v>
      </c>
      <c r="G19" s="14" t="s">
        <v>4</v>
      </c>
      <c r="H19" s="14" t="s">
        <v>5</v>
      </c>
      <c r="I19" s="14" t="s">
        <v>6</v>
      </c>
      <c r="J19" s="15" t="s">
        <v>7</v>
      </c>
      <c r="K19" s="16"/>
      <c r="L19" s="22">
        <f t="shared" si="3"/>
        <v>9</v>
      </c>
      <c r="M19" s="26">
        <f t="shared" ca="1" si="2"/>
        <v>7.8284318134391739E-4</v>
      </c>
      <c r="N19" s="24">
        <f t="shared" ca="1" si="1"/>
        <v>3.7247628976248004E-3</v>
      </c>
      <c r="O19" s="23">
        <f t="shared" ca="1" si="1"/>
        <v>1.0562173893047477E-2</v>
      </c>
      <c r="P19" s="24">
        <f t="shared" ca="1" si="1"/>
        <v>4.6861488363735826E-2</v>
      </c>
      <c r="Q19" s="23">
        <f t="shared" ca="1" si="1"/>
        <v>0.17074135156651715</v>
      </c>
      <c r="R19" s="24">
        <f t="shared" ca="1" si="1"/>
        <v>0.42804314835035084</v>
      </c>
      <c r="S19" s="25">
        <f t="shared" ca="1" si="1"/>
        <v>0.80110672038077158</v>
      </c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</row>
    <row r="20" spans="1:111" s="2" customFormat="1" ht="13.5" thickBot="1" x14ac:dyDescent="0.25">
      <c r="A20" s="10"/>
      <c r="B20" s="21" t="s">
        <v>0</v>
      </c>
      <c r="C20" s="29">
        <f t="array" ref="C20:I26">MMULT(C11:I17,$C$11:$I$17)</f>
        <v>0.87331686000000008</v>
      </c>
      <c r="D20" s="29">
        <v>0.10941232000000001</v>
      </c>
      <c r="E20" s="29">
        <v>1.6325839999999998E-2</v>
      </c>
      <c r="F20" s="29">
        <v>4.6108000000000005E-4</v>
      </c>
      <c r="G20" s="29">
        <v>4.4287999999999999E-4</v>
      </c>
      <c r="H20" s="29">
        <v>2.544E-5</v>
      </c>
      <c r="I20" s="29">
        <v>1.1199999999999999E-6</v>
      </c>
      <c r="J20" s="6">
        <f>1-SUM(C20:I20)</f>
        <v>1.4459999999827389E-5</v>
      </c>
      <c r="K20" s="16"/>
      <c r="L20" s="30">
        <f t="shared" si="3"/>
        <v>10</v>
      </c>
      <c r="M20" s="31">
        <f t="shared" ca="1" si="2"/>
        <v>1.0541726307228272E-3</v>
      </c>
      <c r="N20" s="32">
        <f t="shared" ca="1" si="1"/>
        <v>4.6916261524309055E-3</v>
      </c>
      <c r="O20" s="33">
        <f t="shared" ca="1" si="1"/>
        <v>1.3380931574374588E-2</v>
      </c>
      <c r="P20" s="32">
        <f t="shared" ca="1" si="1"/>
        <v>5.5362376555023185E-2</v>
      </c>
      <c r="Q20" s="33">
        <f t="shared" ca="1" si="1"/>
        <v>0.19097574772288439</v>
      </c>
      <c r="R20" s="32">
        <f t="shared" ca="1" si="1"/>
        <v>0.45500942649279619</v>
      </c>
      <c r="S20" s="34">
        <f t="shared" ca="1" si="1"/>
        <v>0.81612074989115702</v>
      </c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</row>
    <row r="21" spans="1:111" s="2" customFormat="1" x14ac:dyDescent="0.2">
      <c r="A21" s="10"/>
      <c r="B21" s="21" t="s">
        <v>1</v>
      </c>
      <c r="C21" s="29">
        <v>2.9669649999999999E-2</v>
      </c>
      <c r="D21" s="29">
        <v>0.82259472</v>
      </c>
      <c r="E21" s="29">
        <v>0.13676075000000001</v>
      </c>
      <c r="F21" s="29">
        <v>8.1557399999999999E-3</v>
      </c>
      <c r="G21" s="29">
        <v>2.06617E-3</v>
      </c>
      <c r="H21" s="29">
        <v>3.3593999999999996E-4</v>
      </c>
      <c r="I21" s="29">
        <v>1.361E-5</v>
      </c>
      <c r="J21" s="6">
        <f t="shared" ref="J21:J26" si="4">1-SUM(C21:I21)</f>
        <v>4.0342000000004319E-4</v>
      </c>
      <c r="K21" s="16"/>
      <c r="L21" s="35"/>
      <c r="M21" s="36"/>
      <c r="N21" s="36"/>
      <c r="O21" s="36"/>
      <c r="P21" s="36"/>
      <c r="Q21" s="36"/>
      <c r="R21" s="36"/>
      <c r="S21" s="36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</row>
    <row r="22" spans="1:111" s="2" customFormat="1" x14ac:dyDescent="0.2">
      <c r="A22" s="10"/>
      <c r="B22" s="21" t="s">
        <v>2</v>
      </c>
      <c r="C22" s="29">
        <v>1.6920100000000001E-3</v>
      </c>
      <c r="D22" s="29">
        <v>4.1886410000000006E-2</v>
      </c>
      <c r="E22" s="29">
        <v>0.85879230999999989</v>
      </c>
      <c r="F22" s="29">
        <v>8.4064540000000007E-2</v>
      </c>
      <c r="G22" s="29">
        <v>1.0373539999999999E-2</v>
      </c>
      <c r="H22" s="29">
        <v>2.7209599999999997E-3</v>
      </c>
      <c r="I22" s="29">
        <v>2.3240000000000001E-4</v>
      </c>
      <c r="J22" s="6">
        <f t="shared" si="4"/>
        <v>2.3783000000010546E-4</v>
      </c>
      <c r="K22" s="16"/>
      <c r="L22" s="35"/>
      <c r="M22" s="36"/>
      <c r="N22" s="36"/>
      <c r="O22" s="36"/>
      <c r="P22" s="36"/>
      <c r="Q22" s="36"/>
      <c r="R22" s="36"/>
      <c r="S22" s="36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</row>
    <row r="23" spans="1:111" s="2" customFormat="1" x14ac:dyDescent="0.2">
      <c r="A23" s="10"/>
      <c r="B23" s="21" t="s">
        <v>3</v>
      </c>
      <c r="C23" s="29">
        <v>9.9935000000000019E-4</v>
      </c>
      <c r="D23" s="29">
        <v>5.9673999999999994E-3</v>
      </c>
      <c r="E23" s="29">
        <v>0.10009323000000002</v>
      </c>
      <c r="F23" s="29">
        <v>0.78792839000000015</v>
      </c>
      <c r="G23" s="29">
        <v>8.4203280000000019E-2</v>
      </c>
      <c r="H23" s="29">
        <v>1.5173880000000001E-2</v>
      </c>
      <c r="I23" s="29">
        <v>1.5168E-3</v>
      </c>
      <c r="J23" s="6">
        <f t="shared" si="4"/>
        <v>4.1176699999998512E-3</v>
      </c>
      <c r="K23" s="16"/>
      <c r="L23" s="35"/>
      <c r="M23" s="36"/>
      <c r="N23" s="36"/>
      <c r="O23" s="36"/>
      <c r="P23" s="36"/>
      <c r="Q23" s="36"/>
      <c r="R23" s="36"/>
      <c r="S23" s="36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</row>
    <row r="24" spans="1:111" s="2" customFormat="1" x14ac:dyDescent="0.2">
      <c r="A24" s="10"/>
      <c r="B24" s="21" t="s">
        <v>4</v>
      </c>
      <c r="C24" s="29">
        <v>3.9741000000000006E-4</v>
      </c>
      <c r="D24" s="29">
        <v>1.15274E-3</v>
      </c>
      <c r="E24" s="29">
        <v>1.0491269999999999E-2</v>
      </c>
      <c r="F24" s="29">
        <v>9.103101999999999E-2</v>
      </c>
      <c r="G24" s="29">
        <v>0.76161241000000002</v>
      </c>
      <c r="H24" s="29">
        <v>0.10160719999999999</v>
      </c>
      <c r="I24" s="29">
        <v>4.9171499999999995E-3</v>
      </c>
      <c r="J24" s="6">
        <f t="shared" si="4"/>
        <v>2.8790800000000005E-2</v>
      </c>
      <c r="K24" s="16"/>
      <c r="L24" s="36"/>
      <c r="M24" s="36"/>
      <c r="N24" s="36"/>
      <c r="O24" s="36"/>
      <c r="P24" s="36"/>
      <c r="Q24" s="36"/>
      <c r="R24" s="36"/>
      <c r="S24" s="36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</row>
    <row r="25" spans="1:111" s="2" customFormat="1" x14ac:dyDescent="0.2">
      <c r="A25" s="10"/>
      <c r="B25" s="21" t="s">
        <v>5</v>
      </c>
      <c r="C25" s="29">
        <v>2.2750000000000001E-5</v>
      </c>
      <c r="D25" s="29">
        <v>7.7450999999999996E-4</v>
      </c>
      <c r="E25" s="29">
        <v>2.8906599999999998E-3</v>
      </c>
      <c r="F25" s="29">
        <v>1.2782050000000001E-2</v>
      </c>
      <c r="G25" s="29">
        <v>0.10932235</v>
      </c>
      <c r="H25" s="29">
        <v>0.71387290999999997</v>
      </c>
      <c r="I25" s="29">
        <v>2.9460069999999998E-2</v>
      </c>
      <c r="J25" s="6">
        <f t="shared" si="4"/>
        <v>0.13087470000000001</v>
      </c>
      <c r="K25" s="16"/>
      <c r="L25" s="36"/>
      <c r="M25" s="36"/>
      <c r="N25" s="36"/>
      <c r="O25" s="36"/>
      <c r="P25" s="36"/>
      <c r="Q25" s="36"/>
      <c r="R25" s="36"/>
      <c r="S25" s="36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</row>
    <row r="26" spans="1:111" s="2" customFormat="1" ht="13.5" thickBot="1" x14ac:dyDescent="0.25">
      <c r="A26" s="10"/>
      <c r="B26" s="27" t="s">
        <v>6</v>
      </c>
      <c r="C26" s="37">
        <v>7.2000000000000005E-6</v>
      </c>
      <c r="D26" s="37">
        <v>4.269E-5</v>
      </c>
      <c r="E26" s="37">
        <v>4.8076E-4</v>
      </c>
      <c r="F26" s="37">
        <v>1.105428E-2</v>
      </c>
      <c r="G26" s="37">
        <v>3.4888469999999998E-2</v>
      </c>
      <c r="H26" s="37">
        <v>6.385093E-2</v>
      </c>
      <c r="I26" s="37">
        <v>0.47969743999999997</v>
      </c>
      <c r="J26" s="7">
        <f t="shared" si="4"/>
        <v>0.40997823</v>
      </c>
      <c r="K26" s="16"/>
      <c r="L26" s="36"/>
      <c r="M26" s="36"/>
      <c r="N26" s="36"/>
      <c r="O26" s="36"/>
      <c r="P26" s="36"/>
      <c r="Q26" s="36"/>
      <c r="R26" s="36"/>
      <c r="S26" s="36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</row>
    <row r="27" spans="1:111" s="2" customFormat="1" ht="13.5" thickBot="1" x14ac:dyDescent="0.25">
      <c r="A27" s="10"/>
      <c r="B27" s="38"/>
      <c r="C27" s="39"/>
      <c r="D27" s="39"/>
      <c r="E27" s="39"/>
      <c r="F27" s="39"/>
      <c r="G27" s="40"/>
      <c r="H27" s="40"/>
      <c r="I27" s="40"/>
      <c r="J27" s="10"/>
      <c r="K27" s="16"/>
      <c r="L27" s="36"/>
      <c r="M27" s="36"/>
      <c r="N27" s="36"/>
      <c r="O27" s="36"/>
      <c r="P27" s="36"/>
      <c r="Q27" s="36"/>
      <c r="R27" s="36"/>
      <c r="S27" s="36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</row>
    <row r="28" spans="1:111" s="2" customFormat="1" x14ac:dyDescent="0.2">
      <c r="A28" s="10"/>
      <c r="B28" s="13">
        <f>B19+1</f>
        <v>3</v>
      </c>
      <c r="C28" s="14" t="s">
        <v>0</v>
      </c>
      <c r="D28" s="14" t="s">
        <v>1</v>
      </c>
      <c r="E28" s="14" t="s">
        <v>2</v>
      </c>
      <c r="F28" s="14" t="s">
        <v>3</v>
      </c>
      <c r="G28" s="14" t="s">
        <v>4</v>
      </c>
      <c r="H28" s="14" t="s">
        <v>5</v>
      </c>
      <c r="I28" s="14" t="s">
        <v>6</v>
      </c>
      <c r="J28" s="15" t="s">
        <v>7</v>
      </c>
      <c r="K28" s="16"/>
      <c r="L28" s="36"/>
      <c r="M28" s="36"/>
      <c r="N28" s="36"/>
      <c r="O28" s="36"/>
      <c r="P28" s="36"/>
      <c r="Q28" s="36"/>
      <c r="R28" s="36"/>
      <c r="S28" s="36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</row>
    <row r="29" spans="1:111" s="2" customFormat="1" x14ac:dyDescent="0.2">
      <c r="A29" s="10"/>
      <c r="B29" s="21" t="s">
        <v>0</v>
      </c>
      <c r="C29" s="29">
        <f t="array" ref="C29:I35">MMULT(C20:I26,$C$11:$I$17)</f>
        <v>0.81745123279600007</v>
      </c>
      <c r="D29" s="29">
        <v>0.15132153682000002</v>
      </c>
      <c r="E29" s="29">
        <v>2.8870292147999996E-2</v>
      </c>
      <c r="F29" s="29">
        <v>1.4713189360000001E-3</v>
      </c>
      <c r="G29" s="29">
        <v>7.5509355600000003E-4</v>
      </c>
      <c r="H29" s="29">
        <v>8.1451380000000003E-5</v>
      </c>
      <c r="I29" s="29">
        <v>4.3253039999999992E-6</v>
      </c>
      <c r="J29" s="6">
        <f>1-SUM(C29:I29)</f>
        <v>4.4749059999849017E-5</v>
      </c>
      <c r="K29" s="16"/>
      <c r="L29" s="36"/>
      <c r="M29" s="36"/>
      <c r="N29" s="36"/>
      <c r="O29" s="36"/>
      <c r="P29" s="36"/>
      <c r="Q29" s="36"/>
      <c r="R29" s="36"/>
      <c r="S29" s="36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</row>
    <row r="30" spans="1:111" s="2" customFormat="1" x14ac:dyDescent="0.2">
      <c r="A30" s="10"/>
      <c r="B30" s="21" t="s">
        <v>1</v>
      </c>
      <c r="C30" s="29">
        <v>4.1055451721000003E-2</v>
      </c>
      <c r="D30" s="29">
        <v>0.74976241365500007</v>
      </c>
      <c r="E30" s="29">
        <v>0.18843558508200001</v>
      </c>
      <c r="F30" s="29">
        <v>1.5795480579000001E-2</v>
      </c>
      <c r="G30" s="29">
        <v>3.5672253190000003E-3</v>
      </c>
      <c r="H30" s="29">
        <v>7.0987272899999986E-4</v>
      </c>
      <c r="I30" s="29">
        <v>4.0994048999999995E-5</v>
      </c>
      <c r="J30" s="6">
        <f t="shared" ref="J30:J35" si="5">1-SUM(C30:I30)</f>
        <v>6.3297686599983471E-4</v>
      </c>
      <c r="K30" s="16"/>
      <c r="L30" s="36"/>
      <c r="M30" s="36"/>
      <c r="N30" s="36"/>
      <c r="O30" s="36"/>
      <c r="P30" s="36"/>
      <c r="Q30" s="36"/>
      <c r="R30" s="36"/>
      <c r="S30" s="36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</row>
    <row r="31" spans="1:111" s="2" customFormat="1" x14ac:dyDescent="0.2">
      <c r="A31" s="10"/>
      <c r="B31" s="21" t="s">
        <v>2</v>
      </c>
      <c r="C31" s="29">
        <v>2.8999701360000003E-3</v>
      </c>
      <c r="D31" s="29">
        <v>5.7833957275E-2</v>
      </c>
      <c r="E31" s="29">
        <v>0.80168222868399985</v>
      </c>
      <c r="F31" s="29">
        <v>0.114802702339</v>
      </c>
      <c r="G31" s="29">
        <v>1.7097262443999998E-2</v>
      </c>
      <c r="H31" s="29">
        <v>4.5457482929999998E-3</v>
      </c>
      <c r="I31" s="29">
        <v>3.90818495E-4</v>
      </c>
      <c r="J31" s="6">
        <f t="shared" si="5"/>
        <v>7.4731233400004982E-4</v>
      </c>
      <c r="K31" s="16"/>
      <c r="L31" s="36"/>
      <c r="M31" s="36"/>
      <c r="N31" s="36"/>
      <c r="O31" s="36"/>
      <c r="P31" s="36"/>
      <c r="Q31" s="36"/>
      <c r="R31" s="36"/>
      <c r="S31" s="36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</row>
    <row r="32" spans="1:111" s="2" customFormat="1" x14ac:dyDescent="0.2">
      <c r="A32" s="10"/>
      <c r="B32" s="21" t="s">
        <v>3</v>
      </c>
      <c r="C32" s="29">
        <v>1.5103381520000004E-3</v>
      </c>
      <c r="D32" s="29">
        <v>9.841752740000001E-3</v>
      </c>
      <c r="E32" s="29">
        <v>0.13676597980100003</v>
      </c>
      <c r="F32" s="29">
        <v>0.70624510362100024</v>
      </c>
      <c r="G32" s="29">
        <v>0.11213708785700002</v>
      </c>
      <c r="H32" s="29">
        <v>2.3532741209000001E-2</v>
      </c>
      <c r="I32" s="29">
        <v>2.1818866150000002E-3</v>
      </c>
      <c r="J32" s="6">
        <f t="shared" si="5"/>
        <v>7.7851100049997068E-3</v>
      </c>
      <c r="K32" s="16"/>
      <c r="L32" s="36"/>
      <c r="M32" s="36"/>
      <c r="N32" s="36"/>
      <c r="O32" s="36"/>
      <c r="P32" s="36"/>
      <c r="Q32" s="36"/>
      <c r="R32" s="36"/>
      <c r="S32" s="36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</row>
    <row r="33" spans="1:111" s="2" customFormat="1" x14ac:dyDescent="0.2">
      <c r="A33" s="10"/>
      <c r="B33" s="21" t="s">
        <v>4</v>
      </c>
      <c r="C33" s="29">
        <v>5.9492193500000016E-4</v>
      </c>
      <c r="D33" s="29">
        <v>1.964742917E-3</v>
      </c>
      <c r="E33" s="29">
        <v>1.8133338499999999E-2</v>
      </c>
      <c r="F33" s="29">
        <v>0.12091135498699998</v>
      </c>
      <c r="G33" s="29">
        <v>0.67285160852100001</v>
      </c>
      <c r="H33" s="29">
        <v>0.13144452203099999</v>
      </c>
      <c r="I33" s="29">
        <v>7.245109046999999E-3</v>
      </c>
      <c r="J33" s="6">
        <f t="shared" si="5"/>
        <v>4.6854402061999978E-2</v>
      </c>
      <c r="K33" s="16"/>
      <c r="L33" s="36"/>
      <c r="M33" s="36"/>
      <c r="N33" s="36"/>
      <c r="O33" s="36"/>
      <c r="P33" s="36"/>
      <c r="Q33" s="36"/>
      <c r="R33" s="36"/>
      <c r="S33" s="36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</row>
    <row r="34" spans="1:111" s="2" customFormat="1" x14ac:dyDescent="0.2">
      <c r="A34" s="10"/>
      <c r="B34" s="21" t="s">
        <v>5</v>
      </c>
      <c r="C34" s="29">
        <v>6.3997068000000003E-5</v>
      </c>
      <c r="D34" s="29">
        <v>1.1420208719999999E-3</v>
      </c>
      <c r="E34" s="29">
        <v>4.8215297579999993E-3</v>
      </c>
      <c r="F34" s="29">
        <v>2.1124008532000003E-2</v>
      </c>
      <c r="G34" s="29">
        <v>0.14156905076400003</v>
      </c>
      <c r="H34" s="29">
        <v>0.60898098534099998</v>
      </c>
      <c r="I34" s="29">
        <v>3.4294229366999995E-2</v>
      </c>
      <c r="J34" s="6">
        <f t="shared" si="5"/>
        <v>0.18800417829799998</v>
      </c>
      <c r="K34" s="16"/>
      <c r="L34" s="36"/>
      <c r="M34" s="36"/>
      <c r="N34" s="36"/>
      <c r="O34" s="36"/>
      <c r="P34" s="36"/>
      <c r="Q34" s="36"/>
      <c r="R34" s="36"/>
      <c r="S34" s="36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</row>
    <row r="35" spans="1:111" s="2" customFormat="1" ht="13.5" thickBot="1" x14ac:dyDescent="0.25">
      <c r="A35" s="10"/>
      <c r="B35" s="27" t="s">
        <v>6</v>
      </c>
      <c r="C35" s="37">
        <v>2.0253475E-5</v>
      </c>
      <c r="D35" s="37">
        <v>1.2177053799999999E-4</v>
      </c>
      <c r="E35" s="37">
        <v>1.2862739089999999E-3</v>
      </c>
      <c r="F35" s="37">
        <v>1.4922361328000001E-2</v>
      </c>
      <c r="G35" s="37">
        <v>4.4738287861000002E-2</v>
      </c>
      <c r="H35" s="37">
        <v>7.5487883943999995E-2</v>
      </c>
      <c r="I35" s="37">
        <v>0.33326280507099998</v>
      </c>
      <c r="J35" s="7">
        <f t="shared" si="5"/>
        <v>0.53016036387400001</v>
      </c>
      <c r="K35" s="16"/>
      <c r="L35" s="36"/>
      <c r="M35" s="36"/>
      <c r="N35" s="36"/>
      <c r="O35" s="36"/>
      <c r="P35" s="36"/>
      <c r="Q35" s="36"/>
      <c r="R35" s="36"/>
      <c r="S35" s="36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</row>
    <row r="36" spans="1:111" s="2" customFormat="1" ht="13.5" thickBot="1" x14ac:dyDescent="0.25">
      <c r="A36" s="10"/>
      <c r="B36" s="38"/>
      <c r="C36" s="39"/>
      <c r="D36" s="39"/>
      <c r="E36" s="39"/>
      <c r="F36" s="39"/>
      <c r="G36" s="40"/>
      <c r="H36" s="40"/>
      <c r="I36" s="40"/>
      <c r="J36" s="10"/>
      <c r="K36" s="16"/>
      <c r="L36" s="36"/>
      <c r="M36" s="36"/>
      <c r="N36" s="36"/>
      <c r="O36" s="36"/>
      <c r="P36" s="36"/>
      <c r="Q36" s="36"/>
      <c r="R36" s="36"/>
      <c r="S36" s="36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</row>
    <row r="37" spans="1:111" s="2" customFormat="1" x14ac:dyDescent="0.2">
      <c r="A37" s="10"/>
      <c r="B37" s="13">
        <f>B28+1</f>
        <v>4</v>
      </c>
      <c r="C37" s="14" t="s">
        <v>0</v>
      </c>
      <c r="D37" s="14" t="s">
        <v>1</v>
      </c>
      <c r="E37" s="14" t="s">
        <v>2</v>
      </c>
      <c r="F37" s="14" t="s">
        <v>3</v>
      </c>
      <c r="G37" s="14" t="s">
        <v>4</v>
      </c>
      <c r="H37" s="14" t="s">
        <v>5</v>
      </c>
      <c r="I37" s="14" t="s">
        <v>6</v>
      </c>
      <c r="J37" s="15" t="s">
        <v>7</v>
      </c>
      <c r="K37" s="16"/>
      <c r="L37" s="36"/>
      <c r="M37" s="36"/>
      <c r="N37" s="36"/>
      <c r="O37" s="36"/>
      <c r="P37" s="36"/>
      <c r="Q37" s="36"/>
      <c r="R37" s="36"/>
      <c r="S37" s="36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</row>
    <row r="38" spans="1:111" s="2" customFormat="1" x14ac:dyDescent="0.2">
      <c r="A38" s="10"/>
      <c r="B38" s="21" t="s">
        <v>0</v>
      </c>
      <c r="C38" s="29">
        <f t="array" ref="C38:I44">MMULT(C29:I35,$C$11:$I$17)</f>
        <v>0.76595682405694898</v>
      </c>
      <c r="D38" s="29">
        <v>0.18624073303613042</v>
      </c>
      <c r="E38" s="29">
        <v>4.3292319551380409E-2</v>
      </c>
      <c r="F38" s="29">
        <v>3.0713829985836E-3</v>
      </c>
      <c r="G38" s="29">
        <v>1.1611433665984002E-3</v>
      </c>
      <c r="H38" s="29">
        <v>1.7362372250400002E-4</v>
      </c>
      <c r="I38" s="29">
        <v>1.0425140623999999E-5</v>
      </c>
      <c r="J38" s="6">
        <f>1-SUM(C38:I38)</f>
        <v>9.354812723028072E-5</v>
      </c>
      <c r="K38" s="16"/>
      <c r="L38" s="36"/>
      <c r="M38" s="36"/>
      <c r="N38" s="36"/>
      <c r="O38" s="36"/>
      <c r="P38" s="36"/>
      <c r="Q38" s="36"/>
      <c r="R38" s="36"/>
      <c r="S38" s="36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</row>
    <row r="39" spans="1:111" s="2" customFormat="1" x14ac:dyDescent="0.2">
      <c r="A39" s="10"/>
      <c r="B39" s="21" t="s">
        <v>1</v>
      </c>
      <c r="C39" s="29">
        <v>5.0557482862170197E-2</v>
      </c>
      <c r="D39" s="29">
        <v>0.68568802654795602</v>
      </c>
      <c r="E39" s="29">
        <v>0.23127112196026861</v>
      </c>
      <c r="F39" s="29">
        <v>2.4837947383399599E-2</v>
      </c>
      <c r="G39" s="29">
        <v>5.4290150921020011E-3</v>
      </c>
      <c r="H39" s="29">
        <v>1.2235972414906999E-3</v>
      </c>
      <c r="I39" s="29">
        <v>8.196773476889999E-5</v>
      </c>
      <c r="J39" s="6">
        <f t="shared" ref="J39:J44" si="6">1-SUM(C39:I39)</f>
        <v>9.1084117784390184E-4</v>
      </c>
      <c r="K39" s="16"/>
      <c r="L39" s="36"/>
      <c r="M39" s="36"/>
      <c r="N39" s="36"/>
      <c r="O39" s="36"/>
      <c r="P39" s="36"/>
      <c r="Q39" s="36"/>
      <c r="R39" s="36"/>
      <c r="S39" s="36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</row>
    <row r="40" spans="1:111" s="2" customFormat="1" x14ac:dyDescent="0.2">
      <c r="A40" s="10"/>
      <c r="B40" s="21" t="s">
        <v>2</v>
      </c>
      <c r="C40" s="29">
        <v>4.2616971828886002E-3</v>
      </c>
      <c r="D40" s="29">
        <v>7.1128115309206694E-2</v>
      </c>
      <c r="E40" s="29">
        <v>0.75181137209099946</v>
      </c>
      <c r="F40" s="29">
        <v>0.13975487536409298</v>
      </c>
      <c r="G40" s="29">
        <v>2.4280706801822496E-2</v>
      </c>
      <c r="H40" s="29">
        <v>6.6377240741561988E-3</v>
      </c>
      <c r="I40" s="29">
        <v>5.7031400554149992E-4</v>
      </c>
      <c r="J40" s="6">
        <f t="shared" si="6"/>
        <v>1.5551951712919898E-3</v>
      </c>
      <c r="K40" s="16"/>
      <c r="L40" s="36"/>
      <c r="M40" s="36"/>
      <c r="N40" s="36"/>
      <c r="O40" s="36"/>
      <c r="P40" s="36"/>
      <c r="Q40" s="36"/>
      <c r="R40" s="36"/>
      <c r="S40" s="36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</row>
    <row r="41" spans="1:111" s="2" customFormat="1" x14ac:dyDescent="0.2">
      <c r="A41" s="10"/>
      <c r="B41" s="21" t="s">
        <v>3</v>
      </c>
      <c r="C41" s="29">
        <v>2.0403942083246007E-3</v>
      </c>
      <c r="D41" s="29">
        <v>1.4021404441588304E-2</v>
      </c>
      <c r="E41" s="29">
        <v>0.16658600618870947</v>
      </c>
      <c r="F41" s="29">
        <v>0.63717039933873409</v>
      </c>
      <c r="G41" s="29">
        <v>0.13323927428545823</v>
      </c>
      <c r="H41" s="29">
        <v>3.1715041099204797E-2</v>
      </c>
      <c r="I41" s="29">
        <v>2.8071425864056006E-3</v>
      </c>
      <c r="J41" s="6">
        <f t="shared" si="6"/>
        <v>1.2420337851574925E-2</v>
      </c>
      <c r="K41" s="16"/>
      <c r="L41" s="36"/>
      <c r="M41" s="36"/>
      <c r="N41" s="36"/>
      <c r="O41" s="36"/>
      <c r="P41" s="36"/>
      <c r="Q41" s="36"/>
      <c r="R41" s="36"/>
      <c r="S41" s="36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</row>
    <row r="42" spans="1:111" s="2" customFormat="1" x14ac:dyDescent="0.2">
      <c r="A42" s="10"/>
      <c r="B42" s="21" t="s">
        <v>4</v>
      </c>
      <c r="C42" s="29">
        <v>7.950087844014001E-4</v>
      </c>
      <c r="D42" s="29">
        <v>2.9312263281216001E-3</v>
      </c>
      <c r="E42" s="29">
        <v>2.6571905725604399E-2</v>
      </c>
      <c r="F42" s="29">
        <v>0.1433009118913742</v>
      </c>
      <c r="G42" s="29">
        <v>0.59910945262367654</v>
      </c>
      <c r="H42" s="29">
        <v>0.1516441340681163</v>
      </c>
      <c r="I42" s="29">
        <v>9.2375921096060978E-3</v>
      </c>
      <c r="J42" s="6">
        <f t="shared" si="6"/>
        <v>6.6409768469099517E-2</v>
      </c>
      <c r="K42" s="16"/>
      <c r="L42" s="36"/>
      <c r="M42" s="36"/>
      <c r="N42" s="36"/>
      <c r="O42" s="36"/>
      <c r="P42" s="36"/>
      <c r="Q42" s="36"/>
      <c r="R42" s="36"/>
      <c r="S42" s="36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</row>
    <row r="43" spans="1:111" s="2" customFormat="1" x14ac:dyDescent="0.2">
      <c r="A43" s="10"/>
      <c r="B43" s="21" t="s">
        <v>5</v>
      </c>
      <c r="C43" s="29">
        <v>1.2041068280060002E-4</v>
      </c>
      <c r="D43" s="29">
        <v>1.5171315456191997E-3</v>
      </c>
      <c r="E43" s="29">
        <v>7.092824610846901E-3</v>
      </c>
      <c r="F43" s="29">
        <v>2.9722813393515405E-2</v>
      </c>
      <c r="G43" s="29">
        <v>0.16343922659840202</v>
      </c>
      <c r="H43" s="29">
        <v>0.52280560181089009</v>
      </c>
      <c r="I43" s="29">
        <v>3.5720290623612094E-2</v>
      </c>
      <c r="J43" s="6">
        <f t="shared" si="6"/>
        <v>0.23958170073431373</v>
      </c>
      <c r="K43" s="16"/>
      <c r="L43" s="36"/>
      <c r="M43" s="36"/>
      <c r="N43" s="36"/>
      <c r="O43" s="36"/>
      <c r="P43" s="36"/>
      <c r="Q43" s="36"/>
      <c r="R43" s="36"/>
      <c r="S43" s="36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</row>
    <row r="44" spans="1:111" s="2" customFormat="1" ht="13.5" thickBot="1" x14ac:dyDescent="0.25">
      <c r="A44" s="10"/>
      <c r="B44" s="27" t="s">
        <v>6</v>
      </c>
      <c r="C44" s="37">
        <v>3.8186481284300001E-5</v>
      </c>
      <c r="D44" s="37">
        <v>2.3215576066009999E-4</v>
      </c>
      <c r="E44" s="37">
        <v>2.3065024731705997E-3</v>
      </c>
      <c r="F44" s="37">
        <v>1.8045536006765301E-2</v>
      </c>
      <c r="G44" s="37">
        <v>5.1223620390377096E-2</v>
      </c>
      <c r="H44" s="37">
        <v>7.992455558829209E-2</v>
      </c>
      <c r="I44" s="37">
        <v>0.23217911809978206</v>
      </c>
      <c r="J44" s="7">
        <f t="shared" si="6"/>
        <v>0.61605032519966851</v>
      </c>
      <c r="K44" s="16"/>
      <c r="L44" s="36"/>
      <c r="M44" s="36"/>
      <c r="N44" s="36"/>
      <c r="O44" s="36"/>
      <c r="P44" s="36"/>
      <c r="Q44" s="36"/>
      <c r="R44" s="36"/>
      <c r="S44" s="36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</row>
    <row r="45" spans="1:111" s="2" customFormat="1" ht="13.5" thickBot="1" x14ac:dyDescent="0.25">
      <c r="A45" s="10"/>
      <c r="B45" s="38"/>
      <c r="C45" s="39"/>
      <c r="D45" s="39"/>
      <c r="E45" s="39"/>
      <c r="F45" s="39"/>
      <c r="G45" s="40"/>
      <c r="H45" s="40"/>
      <c r="I45" s="40"/>
      <c r="J45" s="10"/>
      <c r="K45" s="16"/>
      <c r="L45" s="36"/>
      <c r="M45" s="36"/>
      <c r="N45" s="36"/>
      <c r="O45" s="36"/>
      <c r="P45" s="36"/>
      <c r="Q45" s="36"/>
      <c r="R45" s="36"/>
      <c r="S45" s="36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</row>
    <row r="46" spans="1:111" s="2" customFormat="1" x14ac:dyDescent="0.2">
      <c r="A46" s="10"/>
      <c r="B46" s="13">
        <f>B37+1</f>
        <v>5</v>
      </c>
      <c r="C46" s="14" t="s">
        <v>0</v>
      </c>
      <c r="D46" s="14" t="s">
        <v>1</v>
      </c>
      <c r="E46" s="14" t="s">
        <v>2</v>
      </c>
      <c r="F46" s="14" t="s">
        <v>3</v>
      </c>
      <c r="G46" s="14" t="s">
        <v>4</v>
      </c>
      <c r="H46" s="14" t="s">
        <v>5</v>
      </c>
      <c r="I46" s="14" t="s">
        <v>6</v>
      </c>
      <c r="J46" s="15" t="s">
        <v>7</v>
      </c>
      <c r="K46" s="16"/>
      <c r="L46" s="36"/>
      <c r="M46" s="36"/>
      <c r="N46" s="36"/>
      <c r="O46" s="36"/>
      <c r="P46" s="36"/>
      <c r="Q46" s="36"/>
      <c r="R46" s="36"/>
      <c r="S46" s="36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</row>
    <row r="47" spans="1:111" s="2" customFormat="1" x14ac:dyDescent="0.2">
      <c r="A47" s="10"/>
      <c r="B47" s="21" t="s">
        <v>0</v>
      </c>
      <c r="C47" s="29">
        <f t="array" ref="C47:I53">MMULT(C38:I44,$C$11:$I$17)</f>
        <v>0.71843422201493068</v>
      </c>
      <c r="D47" s="29">
        <v>0.21513451961593896</v>
      </c>
      <c r="E47" s="29">
        <v>5.8989438267956787E-2</v>
      </c>
      <c r="F47" s="29">
        <v>5.2671371799594899E-3</v>
      </c>
      <c r="G47" s="29">
        <v>1.6822098149301638E-3</v>
      </c>
      <c r="H47" s="29">
        <v>3.0765649385150652E-4</v>
      </c>
      <c r="I47" s="29">
        <v>2.010349284547548E-5</v>
      </c>
      <c r="J47" s="6">
        <f>1-SUM(C47:I47)</f>
        <v>1.6471311958687895E-4</v>
      </c>
      <c r="K47" s="16"/>
      <c r="L47" s="36"/>
      <c r="M47" s="36"/>
      <c r="N47" s="36"/>
      <c r="O47" s="36"/>
      <c r="P47" s="36"/>
      <c r="Q47" s="36"/>
      <c r="R47" s="36"/>
      <c r="S47" s="36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</row>
    <row r="48" spans="1:111" s="2" customFormat="1" x14ac:dyDescent="0.2">
      <c r="A48" s="10"/>
      <c r="B48" s="21" t="s">
        <v>1</v>
      </c>
      <c r="C48" s="29">
        <v>5.8435660782771362E-2</v>
      </c>
      <c r="D48" s="29">
        <v>0.62923438671152077</v>
      </c>
      <c r="E48" s="29">
        <v>0.26665588325149375</v>
      </c>
      <c r="F48" s="29">
        <v>3.4754510464429171E-2</v>
      </c>
      <c r="G48" s="29">
        <v>7.6479728446798958E-3</v>
      </c>
      <c r="H48" s="29">
        <v>1.877156247734522E-3</v>
      </c>
      <c r="I48" s="29">
        <v>1.3611948609634249E-4</v>
      </c>
      <c r="J48" s="6">
        <f t="shared" ref="J48:J53" si="7">1-SUM(C48:I48)</f>
        <v>1.2583102112742051E-3</v>
      </c>
      <c r="K48" s="16"/>
      <c r="L48" s="36"/>
      <c r="M48" s="36"/>
      <c r="N48" s="36"/>
      <c r="O48" s="36"/>
      <c r="P48" s="36"/>
      <c r="Q48" s="36"/>
      <c r="R48" s="36"/>
      <c r="S48" s="36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</row>
    <row r="49" spans="1:111" s="2" customFormat="1" x14ac:dyDescent="0.2">
      <c r="A49" s="10"/>
      <c r="B49" s="21" t="s">
        <v>2</v>
      </c>
      <c r="C49" s="29">
        <v>5.7265893648022906E-3</v>
      </c>
      <c r="D49" s="29">
        <v>8.2179110627802254E-2</v>
      </c>
      <c r="E49" s="29">
        <v>0.7081189662673828</v>
      </c>
      <c r="F49" s="29">
        <v>0.15994117747757555</v>
      </c>
      <c r="G49" s="29">
        <v>3.1635900082241639E-2</v>
      </c>
      <c r="H49" s="29">
        <v>8.9500958717933336E-3</v>
      </c>
      <c r="I49" s="29">
        <v>7.6669655547584965E-4</v>
      </c>
      <c r="J49" s="6">
        <f t="shared" si="7"/>
        <v>2.6814637529263274E-3</v>
      </c>
      <c r="K49" s="16"/>
      <c r="L49" s="36"/>
      <c r="M49" s="36"/>
      <c r="N49" s="36"/>
      <c r="O49" s="36"/>
      <c r="P49" s="36"/>
      <c r="Q49" s="36"/>
      <c r="R49" s="36"/>
      <c r="S49" s="36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</row>
    <row r="50" spans="1:111" s="2" customFormat="1" x14ac:dyDescent="0.2">
      <c r="A50" s="10"/>
      <c r="B50" s="21" t="s">
        <v>3</v>
      </c>
      <c r="C50" s="29">
        <v>2.5933160609433042E-3</v>
      </c>
      <c r="D50" s="29">
        <v>1.835169077079838E-2</v>
      </c>
      <c r="E50" s="29">
        <v>0.19076008292411095</v>
      </c>
      <c r="F50" s="29">
        <v>0.57858156913209835</v>
      </c>
      <c r="G50" s="29">
        <v>0.1489616801935246</v>
      </c>
      <c r="H50" s="29">
        <v>3.9424595324721833E-2</v>
      </c>
      <c r="I50" s="29">
        <v>3.3944691331624453E-3</v>
      </c>
      <c r="J50" s="6">
        <f t="shared" si="7"/>
        <v>1.7932596460640049E-2</v>
      </c>
      <c r="K50" s="16"/>
      <c r="L50" s="36"/>
      <c r="M50" s="36"/>
      <c r="N50" s="36"/>
      <c r="O50" s="36"/>
      <c r="P50" s="36"/>
      <c r="Q50" s="36"/>
      <c r="R50" s="36"/>
      <c r="S50" s="36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</row>
    <row r="51" spans="1:111" s="2" customFormat="1" x14ac:dyDescent="0.2">
      <c r="A51" s="10"/>
      <c r="B51" s="21" t="s">
        <v>4</v>
      </c>
      <c r="C51" s="29">
        <v>9.9980362899201088E-4</v>
      </c>
      <c r="D51" s="29">
        <v>4.0400831633079894E-3</v>
      </c>
      <c r="E51" s="29">
        <v>3.5396104513569462E-2</v>
      </c>
      <c r="F51" s="29">
        <v>0.15982074641546556</v>
      </c>
      <c r="G51" s="29">
        <v>0.53744829251405635</v>
      </c>
      <c r="H51" s="29">
        <v>0.16454856800423104</v>
      </c>
      <c r="I51" s="29">
        <v>1.0843977306930923E-2</v>
      </c>
      <c r="J51" s="6">
        <f t="shared" si="7"/>
        <v>8.6902424453446758E-2</v>
      </c>
      <c r="K51" s="16"/>
      <c r="L51" s="36"/>
      <c r="M51" s="36"/>
      <c r="N51" s="36"/>
      <c r="O51" s="36"/>
      <c r="P51" s="36"/>
      <c r="Q51" s="36"/>
      <c r="R51" s="36"/>
      <c r="S51" s="36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</row>
    <row r="52" spans="1:111" s="2" customFormat="1" x14ac:dyDescent="0.2">
      <c r="A52" s="10"/>
      <c r="B52" s="21" t="s">
        <v>5</v>
      </c>
      <c r="C52" s="29">
        <v>1.8940362486426048E-4</v>
      </c>
      <c r="D52" s="29">
        <v>1.9107525790905474E-3</v>
      </c>
      <c r="E52" s="29">
        <v>9.674374763990138E-3</v>
      </c>
      <c r="F52" s="29">
        <v>3.8109167756206E-2</v>
      </c>
      <c r="G52" s="29">
        <v>0.17742356663825454</v>
      </c>
      <c r="H52" s="29">
        <v>0.45164321907232208</v>
      </c>
      <c r="I52" s="29">
        <v>3.5120769783139626E-2</v>
      </c>
      <c r="J52" s="6">
        <f t="shared" si="7"/>
        <v>0.28592874578213279</v>
      </c>
      <c r="K52" s="16"/>
      <c r="L52" s="36"/>
      <c r="M52" s="36"/>
      <c r="N52" s="36"/>
      <c r="O52" s="36"/>
      <c r="P52" s="36"/>
      <c r="Q52" s="36"/>
      <c r="R52" s="36"/>
      <c r="S52" s="36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</row>
    <row r="53" spans="1:111" s="2" customFormat="1" ht="13.5" thickBot="1" x14ac:dyDescent="0.25">
      <c r="A53" s="10"/>
      <c r="B53" s="27" t="s">
        <v>6</v>
      </c>
      <c r="C53" s="37">
        <v>6.0285925078841298E-5</v>
      </c>
      <c r="D53" s="37">
        <v>3.6957360070239277E-4</v>
      </c>
      <c r="E53" s="37">
        <v>3.4630442613014967E-3</v>
      </c>
      <c r="F53" s="37">
        <v>2.0588326872810342E-2</v>
      </c>
      <c r="G53" s="37">
        <v>5.5222893034710958E-2</v>
      </c>
      <c r="H53" s="37">
        <v>7.9943599024193901E-2</v>
      </c>
      <c r="I53" s="37">
        <v>0.16233211250477517</v>
      </c>
      <c r="J53" s="7">
        <f t="shared" si="7"/>
        <v>0.6780201647764269</v>
      </c>
      <c r="K53" s="16"/>
      <c r="L53" s="36"/>
      <c r="M53" s="36"/>
      <c r="N53" s="36"/>
      <c r="O53" s="36"/>
      <c r="P53" s="36"/>
      <c r="Q53" s="36"/>
      <c r="R53" s="36"/>
      <c r="S53" s="36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</row>
    <row r="54" spans="1:111" s="2" customFormat="1" ht="13.5" thickBot="1" x14ac:dyDescent="0.25">
      <c r="A54" s="10"/>
      <c r="B54" s="38"/>
      <c r="C54" s="39"/>
      <c r="D54" s="39"/>
      <c r="E54" s="39"/>
      <c r="F54" s="39"/>
      <c r="G54" s="40"/>
      <c r="H54" s="40"/>
      <c r="I54" s="40"/>
      <c r="J54" s="10"/>
      <c r="K54" s="16"/>
      <c r="L54" s="36"/>
      <c r="M54" s="36"/>
      <c r="N54" s="36"/>
      <c r="O54" s="36"/>
      <c r="P54" s="36"/>
      <c r="Q54" s="36"/>
      <c r="R54" s="36"/>
      <c r="S54" s="36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</row>
    <row r="55" spans="1:111" s="2" customFormat="1" x14ac:dyDescent="0.2">
      <c r="A55" s="10"/>
      <c r="B55" s="13">
        <f>B46+1</f>
        <v>6</v>
      </c>
      <c r="C55" s="14" t="s">
        <v>0</v>
      </c>
      <c r="D55" s="14" t="s">
        <v>1</v>
      </c>
      <c r="E55" s="14" t="s">
        <v>2</v>
      </c>
      <c r="F55" s="14" t="s">
        <v>3</v>
      </c>
      <c r="G55" s="14" t="s">
        <v>4</v>
      </c>
      <c r="H55" s="14" t="s">
        <v>5</v>
      </c>
      <c r="I55" s="14" t="s">
        <v>6</v>
      </c>
      <c r="J55" s="15" t="s">
        <v>7</v>
      </c>
      <c r="K55" s="16"/>
      <c r="L55" s="36"/>
      <c r="M55" s="36"/>
      <c r="N55" s="36"/>
      <c r="O55" s="36"/>
      <c r="P55" s="36"/>
      <c r="Q55" s="36"/>
      <c r="R55" s="36"/>
      <c r="S55" s="36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</row>
    <row r="56" spans="1:111" s="2" customFormat="1" x14ac:dyDescent="0.2">
      <c r="A56" s="10"/>
      <c r="B56" s="21" t="s">
        <v>0</v>
      </c>
      <c r="C56" s="29">
        <f t="array" ref="C56:I62">MMULT(C47:I53,$C$11:$I$17)</f>
        <v>0.67452549174510235</v>
      </c>
      <c r="D56" s="29">
        <v>0.23883891821660191</v>
      </c>
      <c r="E56" s="29">
        <v>7.547453541242434E-2</v>
      </c>
      <c r="F56" s="29">
        <v>8.0395117328088336E-3</v>
      </c>
      <c r="G56" s="29">
        <v>2.335432973147917E-3</v>
      </c>
      <c r="H56" s="29">
        <v>4.8904457355306128E-4</v>
      </c>
      <c r="I56" s="29">
        <v>3.3937813208228469E-5</v>
      </c>
      <c r="J56" s="6">
        <f>1-SUM(C56:I56)</f>
        <v>2.6312753315349546E-4</v>
      </c>
      <c r="K56" s="16"/>
      <c r="L56" s="36"/>
      <c r="M56" s="36"/>
      <c r="N56" s="36"/>
      <c r="O56" s="36"/>
      <c r="P56" s="36"/>
      <c r="Q56" s="36"/>
      <c r="R56" s="36"/>
      <c r="S56" s="36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</row>
    <row r="57" spans="1:111" s="2" customFormat="1" x14ac:dyDescent="0.2">
      <c r="A57" s="10"/>
      <c r="B57" s="21" t="s">
        <v>1</v>
      </c>
      <c r="C57" s="29">
        <v>6.4915146765241127E-2</v>
      </c>
      <c r="D57" s="29">
        <v>0.57941750613204168</v>
      </c>
      <c r="E57" s="29">
        <v>0.29576110727102978</v>
      </c>
      <c r="F57" s="29">
        <v>4.513858364225809E-2</v>
      </c>
      <c r="G57" s="29">
        <v>1.0201107323442886E-2</v>
      </c>
      <c r="H57" s="29">
        <v>2.6681573848657187E-3</v>
      </c>
      <c r="I57" s="29">
        <v>2.0287270023432283E-4</v>
      </c>
      <c r="J57" s="6">
        <f t="shared" ref="J57:J62" si="8">1-SUM(C57:I57)</f>
        <v>1.6955187808863625E-3</v>
      </c>
      <c r="K57" s="16"/>
      <c r="L57" s="36"/>
      <c r="M57" s="36"/>
      <c r="N57" s="36"/>
      <c r="O57" s="36"/>
      <c r="P57" s="36"/>
      <c r="Q57" s="36"/>
      <c r="R57" s="36"/>
      <c r="S57" s="36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</row>
    <row r="58" spans="1:111" s="2" customFormat="1" x14ac:dyDescent="0.2">
      <c r="A58" s="10"/>
      <c r="B58" s="21" t="s">
        <v>2</v>
      </c>
      <c r="C58" s="29">
        <v>7.2536991929753603E-3</v>
      </c>
      <c r="D58" s="29">
        <v>9.1333701562472058E-2</v>
      </c>
      <c r="E58" s="29">
        <v>0.66970964902633057</v>
      </c>
      <c r="F58" s="29">
        <v>0.17620102413856628</v>
      </c>
      <c r="G58" s="29">
        <v>3.8953651042296145E-2</v>
      </c>
      <c r="H58" s="29">
        <v>1.1432276688222666E-2</v>
      </c>
      <c r="I58" s="29">
        <v>9.7619184634671922E-4</v>
      </c>
      <c r="J58" s="6">
        <f t="shared" si="8"/>
        <v>4.139806502790222E-3</v>
      </c>
      <c r="K58" s="16"/>
      <c r="L58" s="36"/>
      <c r="M58" s="36"/>
      <c r="N58" s="36"/>
      <c r="O58" s="36"/>
      <c r="P58" s="36"/>
      <c r="Q58" s="36"/>
      <c r="R58" s="36"/>
      <c r="S58" s="36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</row>
    <row r="59" spans="1:111" s="2" customFormat="1" x14ac:dyDescent="0.2">
      <c r="A59" s="10"/>
      <c r="B59" s="21" t="s">
        <v>3</v>
      </c>
      <c r="C59" s="29">
        <v>3.1702346009825316E-3</v>
      </c>
      <c r="D59" s="29">
        <v>2.2715391615617801E-2</v>
      </c>
      <c r="E59" s="29">
        <v>0.21028098949925333</v>
      </c>
      <c r="F59" s="29">
        <v>0.52872923982483599</v>
      </c>
      <c r="G59" s="29">
        <v>0.16045158292529418</v>
      </c>
      <c r="H59" s="29">
        <v>4.6484200231974963E-2</v>
      </c>
      <c r="I59" s="29">
        <v>3.9414317069131483E-3</v>
      </c>
      <c r="J59" s="6">
        <f t="shared" si="8"/>
        <v>2.4226929595127955E-2</v>
      </c>
      <c r="K59" s="16"/>
      <c r="L59" s="36"/>
      <c r="M59" s="36"/>
      <c r="N59" s="36"/>
      <c r="O59" s="36"/>
      <c r="P59" s="36"/>
      <c r="Q59" s="36"/>
      <c r="R59" s="36"/>
      <c r="S59" s="36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</row>
    <row r="60" spans="1:111" s="2" customFormat="1" x14ac:dyDescent="0.2">
      <c r="A60" s="10"/>
      <c r="B60" s="21" t="s">
        <v>4</v>
      </c>
      <c r="C60" s="29">
        <v>1.2110392332778394E-3</v>
      </c>
      <c r="D60" s="29">
        <v>5.2747923369858242E-3</v>
      </c>
      <c r="E60" s="29">
        <v>4.4305267054008619E-2</v>
      </c>
      <c r="F60" s="29">
        <v>0.17174686710385795</v>
      </c>
      <c r="G60" s="29">
        <v>0.48553803266228712</v>
      </c>
      <c r="H60" s="29">
        <v>0.17196603896814927</v>
      </c>
      <c r="I60" s="29">
        <v>1.2068182054894475E-2</v>
      </c>
      <c r="J60" s="6">
        <f t="shared" si="8"/>
        <v>0.10788978058653886</v>
      </c>
      <c r="K60" s="16"/>
      <c r="L60" s="36"/>
      <c r="M60" s="36"/>
      <c r="N60" s="36"/>
      <c r="O60" s="36"/>
      <c r="P60" s="36"/>
      <c r="Q60" s="36"/>
      <c r="R60" s="36"/>
      <c r="S60" s="36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</row>
    <row r="61" spans="1:111" s="2" customFormat="1" x14ac:dyDescent="0.2">
      <c r="A61" s="10"/>
      <c r="B61" s="21" t="s">
        <v>5</v>
      </c>
      <c r="C61" s="29">
        <v>2.6897746168712407E-4</v>
      </c>
      <c r="D61" s="29">
        <v>2.3304656874165949E-3</v>
      </c>
      <c r="E61" s="29">
        <v>1.2518876665473407E-2</v>
      </c>
      <c r="F61" s="29">
        <v>4.5983561333149389E-2</v>
      </c>
      <c r="G61" s="29">
        <v>0.18545743058663336</v>
      </c>
      <c r="H61" s="29">
        <v>0.39257495471422632</v>
      </c>
      <c r="I61" s="29">
        <v>3.3387229505827148E-2</v>
      </c>
      <c r="J61" s="6">
        <f t="shared" si="8"/>
        <v>0.32747850404558665</v>
      </c>
      <c r="K61" s="16"/>
      <c r="L61" s="36"/>
      <c r="M61" s="36"/>
      <c r="N61" s="36"/>
      <c r="O61" s="36"/>
      <c r="P61" s="36"/>
      <c r="Q61" s="36"/>
      <c r="R61" s="36"/>
      <c r="S61" s="36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</row>
    <row r="62" spans="1:111" s="2" customFormat="1" ht="13.5" thickBot="1" x14ac:dyDescent="0.25">
      <c r="A62" s="10"/>
      <c r="B62" s="27" t="s">
        <v>6</v>
      </c>
      <c r="C62" s="37">
        <v>8.602006202120472E-5</v>
      </c>
      <c r="D62" s="37">
        <v>5.3030582453971386E-4</v>
      </c>
      <c r="E62" s="37">
        <v>4.6994737758490942E-3</v>
      </c>
      <c r="F62" s="37">
        <v>2.2665507270574016E-2</v>
      </c>
      <c r="G62" s="37">
        <v>5.7394375912598772E-2</v>
      </c>
      <c r="H62" s="37">
        <v>7.7365691997992939E-2</v>
      </c>
      <c r="I62" s="37">
        <v>0.1140100965038742</v>
      </c>
      <c r="J62" s="7">
        <f t="shared" si="8"/>
        <v>0.72324852865255007</v>
      </c>
      <c r="K62" s="16"/>
      <c r="L62" s="36"/>
      <c r="M62" s="36"/>
      <c r="N62" s="36"/>
      <c r="O62" s="36"/>
      <c r="P62" s="36"/>
      <c r="Q62" s="36"/>
      <c r="R62" s="36"/>
      <c r="S62" s="36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</row>
    <row r="63" spans="1:111" s="2" customFormat="1" ht="13.5" thickBot="1" x14ac:dyDescent="0.25">
      <c r="A63" s="10"/>
      <c r="B63" s="38"/>
      <c r="C63" s="39"/>
      <c r="D63" s="39"/>
      <c r="E63" s="39"/>
      <c r="F63" s="39"/>
      <c r="G63" s="40"/>
      <c r="H63" s="40"/>
      <c r="I63" s="40"/>
      <c r="J63" s="10"/>
      <c r="K63" s="16"/>
      <c r="L63" s="36"/>
      <c r="M63" s="36"/>
      <c r="N63" s="36"/>
      <c r="O63" s="36"/>
      <c r="P63" s="36"/>
      <c r="Q63" s="36"/>
      <c r="R63" s="36"/>
      <c r="S63" s="36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</row>
    <row r="64" spans="1:111" s="2" customFormat="1" x14ac:dyDescent="0.2">
      <c r="A64" s="10"/>
      <c r="B64" s="13">
        <f>B55+1</f>
        <v>7</v>
      </c>
      <c r="C64" s="14" t="s">
        <v>0</v>
      </c>
      <c r="D64" s="14" t="s">
        <v>1</v>
      </c>
      <c r="E64" s="14" t="s">
        <v>2</v>
      </c>
      <c r="F64" s="14" t="s">
        <v>3</v>
      </c>
      <c r="G64" s="14" t="s">
        <v>4</v>
      </c>
      <c r="H64" s="14" t="s">
        <v>5</v>
      </c>
      <c r="I64" s="14" t="s">
        <v>6</v>
      </c>
      <c r="J64" s="15" t="s">
        <v>7</v>
      </c>
      <c r="K64" s="16"/>
      <c r="L64" s="36"/>
      <c r="M64" s="36"/>
      <c r="N64" s="36"/>
      <c r="O64" s="36"/>
      <c r="P64" s="36"/>
      <c r="Q64" s="36"/>
      <c r="R64" s="36"/>
      <c r="S64" s="36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</row>
    <row r="65" spans="1:111" s="2" customFormat="1" x14ac:dyDescent="0.2">
      <c r="A65" s="10"/>
      <c r="B65" s="21" t="s">
        <v>0</v>
      </c>
      <c r="C65" s="29">
        <f t="array" ref="C65:I71">MMULT(C56:I62,$C$11:$I$17)</f>
        <v>0.63390943489046259</v>
      </c>
      <c r="D65" s="29">
        <v>0.2580785401270167</v>
      </c>
      <c r="E65" s="29">
        <v>9.2356428654282841E-2</v>
      </c>
      <c r="F65" s="29">
        <v>1.1352171754701179E-2</v>
      </c>
      <c r="G65" s="29">
        <v>3.1336511451358151E-3</v>
      </c>
      <c r="H65" s="29">
        <v>7.2281595895783786E-4</v>
      </c>
      <c r="I65" s="29">
        <v>5.2409820158002072E-5</v>
      </c>
      <c r="J65" s="6">
        <f>1-SUM(C65:I65)</f>
        <v>3.9454764928503749E-4</v>
      </c>
      <c r="K65" s="16"/>
      <c r="L65" s="36"/>
      <c r="M65" s="36"/>
      <c r="N65" s="36"/>
      <c r="O65" s="36"/>
      <c r="P65" s="36"/>
      <c r="Q65" s="36"/>
      <c r="R65" s="36"/>
      <c r="S65" s="36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</row>
    <row r="66" spans="1:111" s="2" customFormat="1" x14ac:dyDescent="0.2">
      <c r="A66" s="10"/>
      <c r="B66" s="21" t="s">
        <v>1</v>
      </c>
      <c r="C66" s="29">
        <v>7.0191011215836624E-2</v>
      </c>
      <c r="D66" s="29">
        <v>0.53538539290028409</v>
      </c>
      <c r="E66" s="29">
        <v>0.31957501967213497</v>
      </c>
      <c r="F66" s="29">
        <v>5.568088658777133E-2</v>
      </c>
      <c r="G66" s="29">
        <v>1.3053349608060994E-2</v>
      </c>
      <c r="H66" s="29">
        <v>3.5916238217174154E-3</v>
      </c>
      <c r="I66" s="29">
        <v>2.8151934983025899E-4</v>
      </c>
      <c r="J66" s="6">
        <f t="shared" ref="J66:J71" si="9">1-SUM(C66:I66)</f>
        <v>2.2411968443643016E-3</v>
      </c>
      <c r="K66" s="16"/>
      <c r="L66" s="36"/>
      <c r="M66" s="36"/>
      <c r="N66" s="36"/>
      <c r="O66" s="36"/>
      <c r="P66" s="36"/>
      <c r="Q66" s="36"/>
      <c r="R66" s="36"/>
      <c r="S66" s="36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</row>
    <row r="67" spans="1:111" s="2" customFormat="1" x14ac:dyDescent="0.2">
      <c r="A67" s="10"/>
      <c r="B67" s="21" t="s">
        <v>2</v>
      </c>
      <c r="C67" s="29">
        <v>8.8101156379909607E-3</v>
      </c>
      <c r="D67" s="29">
        <v>9.8885088893638229E-2</v>
      </c>
      <c r="E67" s="29">
        <v>0.63582666109544284</v>
      </c>
      <c r="F67" s="29">
        <v>0.18922548560913122</v>
      </c>
      <c r="G67" s="29">
        <v>4.6085092864270885E-2</v>
      </c>
      <c r="H67" s="29">
        <v>1.4034065051123441E-2</v>
      </c>
      <c r="I67" s="29">
        <v>1.1953017891319796E-3</v>
      </c>
      <c r="J67" s="6">
        <f t="shared" si="9"/>
        <v>5.93818905927046E-3</v>
      </c>
      <c r="K67" s="16"/>
      <c r="L67" s="36"/>
      <c r="M67" s="36"/>
      <c r="N67" s="36"/>
      <c r="O67" s="36"/>
      <c r="P67" s="36"/>
      <c r="Q67" s="36"/>
      <c r="R67" s="36"/>
      <c r="S67" s="36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</row>
    <row r="68" spans="1:111" s="2" customFormat="1" x14ac:dyDescent="0.2">
      <c r="A68" s="10"/>
      <c r="B68" s="21" t="s">
        <v>3</v>
      </c>
      <c r="C68" s="29">
        <v>3.7703685514760854E-3</v>
      </c>
      <c r="D68" s="29">
        <v>2.7025021098923269E-2</v>
      </c>
      <c r="E68" s="29">
        <v>0.22596591163201746</v>
      </c>
      <c r="F68" s="29">
        <v>0.48616945446581167</v>
      </c>
      <c r="G68" s="29">
        <v>0.16861587095287839</v>
      </c>
      <c r="H68" s="29">
        <v>5.2801078729213254E-2</v>
      </c>
      <c r="I68" s="29">
        <v>4.4444142554451206E-3</v>
      </c>
      <c r="J68" s="6">
        <f t="shared" si="9"/>
        <v>3.1207880314234604E-2</v>
      </c>
      <c r="K68" s="16"/>
      <c r="L68" s="36"/>
      <c r="M68" s="36"/>
      <c r="N68" s="36"/>
      <c r="O68" s="36"/>
      <c r="P68" s="36"/>
      <c r="Q68" s="36"/>
      <c r="R68" s="36"/>
      <c r="S68" s="36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</row>
    <row r="69" spans="1:111" s="2" customFormat="1" x14ac:dyDescent="0.2">
      <c r="A69" s="10"/>
      <c r="B69" s="21" t="s">
        <v>4</v>
      </c>
      <c r="C69" s="29">
        <v>1.4300295275291664E-3</v>
      </c>
      <c r="D69" s="29">
        <v>6.6165175668171971E-3</v>
      </c>
      <c r="E69" s="29">
        <v>5.308310698942046E-2</v>
      </c>
      <c r="F69" s="29">
        <v>0.18008387816271268</v>
      </c>
      <c r="G69" s="29">
        <v>0.44152785949023321</v>
      </c>
      <c r="H69" s="29">
        <v>0.17529057413329208</v>
      </c>
      <c r="I69" s="29">
        <v>1.2942852625056601E-2</v>
      </c>
      <c r="J69" s="6">
        <f t="shared" si="9"/>
        <v>0.12902518150493869</v>
      </c>
      <c r="K69" s="16"/>
      <c r="L69" s="36"/>
      <c r="M69" s="36"/>
      <c r="N69" s="36"/>
      <c r="O69" s="36"/>
      <c r="P69" s="36"/>
      <c r="Q69" s="36"/>
      <c r="R69" s="36"/>
      <c r="S69" s="36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</row>
    <row r="70" spans="1:111" s="2" customFormat="1" x14ac:dyDescent="0.2">
      <c r="A70" s="10"/>
      <c r="B70" s="21" t="s">
        <v>5</v>
      </c>
      <c r="C70" s="29">
        <v>3.5759192723291386E-4</v>
      </c>
      <c r="D70" s="29">
        <v>2.7809602857979312E-3</v>
      </c>
      <c r="E70" s="29">
        <v>1.5570986664648579E-2</v>
      </c>
      <c r="F70" s="29">
        <v>5.3168447264632511E-2</v>
      </c>
      <c r="G70" s="29">
        <v>0.18904130443112943</v>
      </c>
      <c r="H70" s="29">
        <v>0.34329109895586185</v>
      </c>
      <c r="I70" s="29">
        <v>3.1085281023215092E-2</v>
      </c>
      <c r="J70" s="6">
        <f t="shared" si="9"/>
        <v>0.36470432944748177</v>
      </c>
      <c r="K70" s="16"/>
      <c r="L70" s="36"/>
      <c r="M70" s="36"/>
      <c r="N70" s="36"/>
      <c r="O70" s="36"/>
      <c r="P70" s="36"/>
      <c r="Q70" s="36"/>
      <c r="R70" s="36"/>
      <c r="S70" s="36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</row>
    <row r="71" spans="1:111" s="2" customFormat="1" ht="13.5" thickBot="1" x14ac:dyDescent="0.25">
      <c r="A71" s="10"/>
      <c r="B71" s="27" t="s">
        <v>6</v>
      </c>
      <c r="C71" s="37">
        <v>1.1498192216379575E-4</v>
      </c>
      <c r="D71" s="37">
        <v>7.1102330155311882E-4</v>
      </c>
      <c r="E71" s="37">
        <v>5.9748061303414347E-3</v>
      </c>
      <c r="F71" s="37">
        <v>2.4359592396172785E-2</v>
      </c>
      <c r="G71" s="37">
        <v>5.8231900783166701E-2</v>
      </c>
      <c r="H71" s="37">
        <v>7.3367622855236847E-2</v>
      </c>
      <c r="I71" s="37">
        <v>8.0529020353226885E-2</v>
      </c>
      <c r="J71" s="7">
        <f t="shared" si="9"/>
        <v>0.75671105225813839</v>
      </c>
      <c r="K71" s="16"/>
      <c r="L71" s="36"/>
      <c r="M71" s="36"/>
      <c r="N71" s="36"/>
      <c r="O71" s="36"/>
      <c r="P71" s="36"/>
      <c r="Q71" s="36"/>
      <c r="R71" s="36"/>
      <c r="S71" s="36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</row>
    <row r="72" spans="1:111" s="2" customFormat="1" ht="13.5" thickBot="1" x14ac:dyDescent="0.25">
      <c r="A72" s="10"/>
      <c r="B72" s="38"/>
      <c r="C72" s="39"/>
      <c r="D72" s="39"/>
      <c r="E72" s="39"/>
      <c r="F72" s="39"/>
      <c r="G72" s="40"/>
      <c r="H72" s="40"/>
      <c r="I72" s="40"/>
      <c r="J72" s="10"/>
      <c r="K72" s="16"/>
      <c r="L72" s="36"/>
      <c r="M72" s="36"/>
      <c r="N72" s="36"/>
      <c r="O72" s="36"/>
      <c r="P72" s="36"/>
      <c r="Q72" s="36"/>
      <c r="R72" s="36"/>
      <c r="S72" s="36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</row>
    <row r="73" spans="1:111" s="2" customFormat="1" x14ac:dyDescent="0.2">
      <c r="A73" s="10"/>
      <c r="B73" s="13">
        <f>B64+1</f>
        <v>8</v>
      </c>
      <c r="C73" s="14" t="s">
        <v>0</v>
      </c>
      <c r="D73" s="14" t="s">
        <v>1</v>
      </c>
      <c r="E73" s="14" t="s">
        <v>2</v>
      </c>
      <c r="F73" s="14" t="s">
        <v>3</v>
      </c>
      <c r="G73" s="14" t="s">
        <v>4</v>
      </c>
      <c r="H73" s="14" t="s">
        <v>5</v>
      </c>
      <c r="I73" s="14" t="s">
        <v>6</v>
      </c>
      <c r="J73" s="15" t="s">
        <v>7</v>
      </c>
      <c r="K73" s="16"/>
      <c r="L73" s="36"/>
      <c r="M73" s="36"/>
      <c r="N73" s="36"/>
      <c r="O73" s="36"/>
      <c r="P73" s="36"/>
      <c r="Q73" s="36"/>
      <c r="R73" s="36"/>
      <c r="S73" s="36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</row>
    <row r="74" spans="1:111" s="2" customFormat="1" x14ac:dyDescent="0.2">
      <c r="A74" s="10"/>
      <c r="B74" s="21" t="s">
        <v>0</v>
      </c>
      <c r="C74" s="29">
        <f t="array" ref="C74:I80">MMULT(C65:I71,$C$11:$I$17)</f>
        <v>0.59629742899990146</v>
      </c>
      <c r="D74" s="29">
        <v>0.2734814366893431</v>
      </c>
      <c r="E74" s="29">
        <v>0.1093235677840337</v>
      </c>
      <c r="F74" s="29">
        <v>1.5157432965735502E-2</v>
      </c>
      <c r="G74" s="29">
        <v>4.0854493025050554E-3</v>
      </c>
      <c r="H74" s="29">
        <v>1.0133286918304837E-3</v>
      </c>
      <c r="I74" s="29">
        <v>7.5911523382947318E-5</v>
      </c>
      <c r="J74" s="6">
        <f>1-SUM(C74:I74)</f>
        <v>5.6544404326774877E-4</v>
      </c>
      <c r="K74" s="16"/>
      <c r="L74" s="36"/>
      <c r="M74" s="36"/>
      <c r="N74" s="36"/>
      <c r="O74" s="36"/>
      <c r="P74" s="36"/>
      <c r="Q74" s="36"/>
      <c r="R74" s="36"/>
      <c r="S74" s="36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</row>
    <row r="75" spans="1:111" s="2" customFormat="1" x14ac:dyDescent="0.2">
      <c r="A75" s="10"/>
      <c r="B75" s="21" t="s">
        <v>1</v>
      </c>
      <c r="C75" s="29">
        <v>7.4432262928271986E-2</v>
      </c>
      <c r="D75" s="29">
        <v>0.49639986341541353</v>
      </c>
      <c r="E75" s="29">
        <v>0.33893163099737239</v>
      </c>
      <c r="F75" s="29">
        <v>6.6149466913602836E-2</v>
      </c>
      <c r="G75" s="29">
        <v>1.6162888249672332E-2</v>
      </c>
      <c r="H75" s="29">
        <v>4.6401673916296529E-3</v>
      </c>
      <c r="I75" s="29">
        <v>3.7124165537411882E-4</v>
      </c>
      <c r="J75" s="6">
        <f t="shared" ref="J75:J80" si="10">1-SUM(C75:I75)</f>
        <v>2.9124784486630473E-3</v>
      </c>
      <c r="K75" s="16"/>
      <c r="L75" s="36"/>
      <c r="M75" s="36"/>
      <c r="N75" s="36"/>
      <c r="O75" s="36"/>
      <c r="P75" s="36"/>
      <c r="Q75" s="36"/>
      <c r="R75" s="36"/>
      <c r="S75" s="36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</row>
    <row r="76" spans="1:111" s="2" customFormat="1" x14ac:dyDescent="0.2">
      <c r="A76" s="10"/>
      <c r="B76" s="21" t="s">
        <v>2</v>
      </c>
      <c r="C76" s="29">
        <v>1.0369606361215361E-2</v>
      </c>
      <c r="D76" s="29">
        <v>0.1050812591700985</v>
      </c>
      <c r="E76" s="29">
        <v>0.60582950381983547</v>
      </c>
      <c r="F76" s="29">
        <v>0.19958377092096682</v>
      </c>
      <c r="G76" s="29">
        <v>5.2927332718817374E-2</v>
      </c>
      <c r="H76" s="29">
        <v>1.6708268337359881E-2</v>
      </c>
      <c r="I76" s="29">
        <v>1.4207667580268869E-3</v>
      </c>
      <c r="J76" s="6">
        <f t="shared" si="10"/>
        <v>8.0794919136797372E-3</v>
      </c>
      <c r="K76" s="16"/>
      <c r="L76" s="36"/>
      <c r="M76" s="36"/>
      <c r="N76" s="36"/>
      <c r="O76" s="36"/>
      <c r="P76" s="36"/>
      <c r="Q76" s="36"/>
      <c r="R76" s="36"/>
      <c r="S76" s="36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</row>
    <row r="77" spans="1:111" s="2" customFormat="1" x14ac:dyDescent="0.2">
      <c r="A77" s="10"/>
      <c r="B77" s="21" t="s">
        <v>3</v>
      </c>
      <c r="C77" s="29">
        <v>4.3916111063372221E-3</v>
      </c>
      <c r="D77" s="29">
        <v>3.1216608230821931E-2</v>
      </c>
      <c r="E77" s="29">
        <v>0.23848785064676237</v>
      </c>
      <c r="F77" s="29">
        <v>0.44970848020945986</v>
      </c>
      <c r="G77" s="29">
        <v>0.1741716216643043</v>
      </c>
      <c r="H77" s="29">
        <v>5.8341263303456251E-2</v>
      </c>
      <c r="I77" s="29">
        <v>4.9002455135187554E-3</v>
      </c>
      <c r="J77" s="6">
        <f t="shared" si="10"/>
        <v>3.8782319325339265E-2</v>
      </c>
      <c r="K77" s="16"/>
      <c r="L77" s="36"/>
      <c r="M77" s="36"/>
      <c r="N77" s="36"/>
      <c r="O77" s="36"/>
      <c r="P77" s="36"/>
      <c r="Q77" s="36"/>
      <c r="R77" s="36"/>
      <c r="S77" s="36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</row>
    <row r="78" spans="1:111" s="2" customFormat="1" x14ac:dyDescent="0.2">
      <c r="A78" s="10"/>
      <c r="B78" s="21" t="s">
        <v>4</v>
      </c>
      <c r="C78" s="29">
        <v>1.6576791974099957E-3</v>
      </c>
      <c r="D78" s="29">
        <v>8.0455934926684774E-3</v>
      </c>
      <c r="E78" s="29">
        <v>6.1577684943478747E-2</v>
      </c>
      <c r="F78" s="29">
        <v>0.18562281853394325</v>
      </c>
      <c r="G78" s="29">
        <v>0.40394525007295257</v>
      </c>
      <c r="H78" s="29">
        <v>0.17559504333313292</v>
      </c>
      <c r="I78" s="29">
        <v>1.3513546258490716E-2</v>
      </c>
      <c r="J78" s="6">
        <f t="shared" si="10"/>
        <v>0.15004238416792326</v>
      </c>
      <c r="K78" s="16"/>
      <c r="L78" s="36"/>
      <c r="M78" s="36"/>
      <c r="N78" s="36"/>
      <c r="O78" s="36"/>
      <c r="P78" s="36"/>
      <c r="Q78" s="36"/>
      <c r="R78" s="36"/>
      <c r="S78" s="36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</row>
    <row r="79" spans="1:111" s="2" customFormat="1" x14ac:dyDescent="0.2">
      <c r="A79" s="10"/>
      <c r="B79" s="21" t="s">
        <v>5</v>
      </c>
      <c r="C79" s="29">
        <v>4.5405649582068441E-4</v>
      </c>
      <c r="D79" s="29">
        <v>3.2644940499076034E-3</v>
      </c>
      <c r="E79" s="29">
        <v>1.8773401649990581E-2</v>
      </c>
      <c r="F79" s="29">
        <v>5.9572641304415024E-2</v>
      </c>
      <c r="G79" s="29">
        <v>0.18933549263819785</v>
      </c>
      <c r="H79" s="29">
        <v>0.30195684335385886</v>
      </c>
      <c r="I79" s="29">
        <v>2.8565665445234686E-2</v>
      </c>
      <c r="J79" s="6">
        <f t="shared" si="10"/>
        <v>0.39807740506257472</v>
      </c>
      <c r="K79" s="16"/>
      <c r="L79" s="36"/>
      <c r="M79" s="36"/>
      <c r="N79" s="36"/>
      <c r="O79" s="36"/>
      <c r="P79" s="36"/>
      <c r="Q79" s="36"/>
      <c r="R79" s="36"/>
      <c r="S79" s="36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</row>
    <row r="80" spans="1:111" s="2" customFormat="1" ht="13.5" thickBot="1" x14ac:dyDescent="0.25">
      <c r="A80" s="10"/>
      <c r="B80" s="27" t="s">
        <v>6</v>
      </c>
      <c r="C80" s="37">
        <v>1.4684913110194921E-4</v>
      </c>
      <c r="D80" s="37">
        <v>9.0868504526839071E-4</v>
      </c>
      <c r="E80" s="37">
        <v>7.259054443515562E-3</v>
      </c>
      <c r="F80" s="37">
        <v>2.5732080706572215E-2</v>
      </c>
      <c r="G80" s="37">
        <v>5.8106100082199054E-2</v>
      </c>
      <c r="H80" s="37">
        <v>6.8697495311076662E-2</v>
      </c>
      <c r="I80" s="37">
        <v>5.7287245397377597E-2</v>
      </c>
      <c r="J80" s="7">
        <f t="shared" si="10"/>
        <v>0.78186248988288853</v>
      </c>
      <c r="K80" s="16"/>
      <c r="L80" s="36"/>
      <c r="M80" s="36"/>
      <c r="N80" s="36"/>
      <c r="O80" s="36"/>
      <c r="P80" s="36"/>
      <c r="Q80" s="36"/>
      <c r="R80" s="36"/>
      <c r="S80" s="36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</row>
    <row r="81" spans="1:111" s="2" customFormat="1" ht="13.5" thickBot="1" x14ac:dyDescent="0.25">
      <c r="A81" s="10"/>
      <c r="B81" s="38"/>
      <c r="C81" s="39"/>
      <c r="D81" s="39"/>
      <c r="E81" s="39"/>
      <c r="F81" s="39"/>
      <c r="G81" s="40"/>
      <c r="H81" s="40"/>
      <c r="I81" s="40"/>
      <c r="J81" s="10"/>
      <c r="K81" s="16"/>
      <c r="L81" s="36"/>
      <c r="M81" s="36"/>
      <c r="N81" s="36"/>
      <c r="O81" s="36"/>
      <c r="P81" s="36"/>
      <c r="Q81" s="36"/>
      <c r="R81" s="36"/>
      <c r="S81" s="36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</row>
    <row r="82" spans="1:111" s="2" customFormat="1" x14ac:dyDescent="0.2">
      <c r="A82" s="10"/>
      <c r="B82" s="13">
        <f>B73+1</f>
        <v>9</v>
      </c>
      <c r="C82" s="14" t="s">
        <v>0</v>
      </c>
      <c r="D82" s="14" t="s">
        <v>1</v>
      </c>
      <c r="E82" s="14" t="s">
        <v>2</v>
      </c>
      <c r="F82" s="14" t="s">
        <v>3</v>
      </c>
      <c r="G82" s="14" t="s">
        <v>4</v>
      </c>
      <c r="H82" s="14" t="s">
        <v>5</v>
      </c>
      <c r="I82" s="14" t="s">
        <v>6</v>
      </c>
      <c r="J82" s="15" t="s">
        <v>7</v>
      </c>
      <c r="K82" s="16"/>
      <c r="L82" s="36"/>
      <c r="M82" s="36"/>
      <c r="N82" s="36"/>
      <c r="O82" s="36"/>
      <c r="P82" s="36"/>
      <c r="Q82" s="36"/>
      <c r="R82" s="36"/>
      <c r="S82" s="36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</row>
    <row r="83" spans="1:111" s="2" customFormat="1" x14ac:dyDescent="0.2">
      <c r="A83" s="10"/>
      <c r="B83" s="21" t="s">
        <v>0</v>
      </c>
      <c r="C83" s="29">
        <f t="array" ref="C83:I89">MMULT(C74:I80,$C$11:$I$17)</f>
        <v>0.56142977212039857</v>
      </c>
      <c r="D83" s="29">
        <v>0.28559194293210916</v>
      </c>
      <c r="E83" s="29">
        <v>0.12613037555296702</v>
      </c>
      <c r="F83" s="29">
        <v>1.9400781422265947E-2</v>
      </c>
      <c r="G83" s="29">
        <v>5.1954091899852799E-3</v>
      </c>
      <c r="H83" s="29">
        <v>1.3641268672582032E-3</v>
      </c>
      <c r="I83" s="29">
        <v>1.0474873367196568E-4</v>
      </c>
      <c r="J83" s="6">
        <f>1-SUM(C83:I83)</f>
        <v>7.8284318134391739E-4</v>
      </c>
      <c r="K83" s="16"/>
      <c r="L83" s="36"/>
      <c r="M83" s="36"/>
      <c r="N83" s="36"/>
      <c r="O83" s="36"/>
      <c r="P83" s="36"/>
      <c r="Q83" s="36"/>
      <c r="R83" s="36"/>
      <c r="S83" s="36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</row>
    <row r="84" spans="1:111" s="2" customFormat="1" x14ac:dyDescent="0.2">
      <c r="A84" s="10"/>
      <c r="B84" s="21" t="s">
        <v>1</v>
      </c>
      <c r="C84" s="29">
        <v>7.7785330828799099E-2</v>
      </c>
      <c r="D84" s="29">
        <v>0.46182092005239322</v>
      </c>
      <c r="E84" s="29">
        <v>0.35453494796269913</v>
      </c>
      <c r="F84" s="29">
        <v>7.6373586121075421E-2</v>
      </c>
      <c r="G84" s="29">
        <v>1.948498055532907E-2</v>
      </c>
      <c r="H84" s="29">
        <v>5.8043414909503604E-3</v>
      </c>
      <c r="I84" s="29">
        <v>4.7113009112884963E-4</v>
      </c>
      <c r="J84" s="6">
        <f t="shared" ref="J84:J89" si="11">1-SUM(C84:I84)</f>
        <v>3.7247628976248004E-3</v>
      </c>
      <c r="K84" s="16"/>
      <c r="L84" s="36"/>
      <c r="M84" s="36"/>
      <c r="N84" s="36"/>
      <c r="O84" s="36"/>
      <c r="P84" s="36"/>
      <c r="Q84" s="36"/>
      <c r="R84" s="36"/>
      <c r="S84" s="36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</row>
    <row r="85" spans="1:111" s="2" customFormat="1" x14ac:dyDescent="0.2">
      <c r="A85" s="10"/>
      <c r="B85" s="21" t="s">
        <v>2</v>
      </c>
      <c r="C85" s="29">
        <v>1.1911478618691865E-2</v>
      </c>
      <c r="D85" s="29">
        <v>0.11013201226156151</v>
      </c>
      <c r="E85" s="29">
        <v>0.57917530206986001</v>
      </c>
      <c r="F85" s="29">
        <v>0.2077449215827846</v>
      </c>
      <c r="G85" s="29">
        <v>5.9412312941438693E-2</v>
      </c>
      <c r="H85" s="29">
        <v>1.9412224545173769E-2</v>
      </c>
      <c r="I85" s="29">
        <v>1.6495740874420981E-3</v>
      </c>
      <c r="J85" s="6">
        <f t="shared" si="11"/>
        <v>1.0562173893047477E-2</v>
      </c>
      <c r="K85" s="16"/>
      <c r="L85" s="36"/>
      <c r="M85" s="36"/>
      <c r="N85" s="36"/>
      <c r="O85" s="36"/>
      <c r="P85" s="36"/>
      <c r="Q85" s="36"/>
      <c r="R85" s="36"/>
      <c r="S85" s="36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</row>
    <row r="86" spans="1:111" s="2" customFormat="1" x14ac:dyDescent="0.2">
      <c r="A86" s="10"/>
      <c r="B86" s="21" t="s">
        <v>3</v>
      </c>
      <c r="C86" s="29">
        <v>5.0309822257255232E-3</v>
      </c>
      <c r="D86" s="29">
        <v>3.5244687812169995E-2</v>
      </c>
      <c r="E86" s="29">
        <v>0.24840133613579282</v>
      </c>
      <c r="F86" s="29">
        <v>0.41835789397757589</v>
      </c>
      <c r="G86" s="29">
        <v>0.17768597389675322</v>
      </c>
      <c r="H86" s="29">
        <v>6.3110722102569169E-2</v>
      </c>
      <c r="I86" s="29">
        <v>5.3069154856775665E-3</v>
      </c>
      <c r="J86" s="6">
        <f t="shared" si="11"/>
        <v>4.6861488363735826E-2</v>
      </c>
      <c r="K86" s="16"/>
      <c r="L86" s="36"/>
      <c r="M86" s="36"/>
      <c r="N86" s="36"/>
      <c r="O86" s="36"/>
      <c r="P86" s="36"/>
      <c r="Q86" s="36"/>
      <c r="R86" s="36"/>
      <c r="S86" s="36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</row>
    <row r="87" spans="1:111" s="2" customFormat="1" x14ac:dyDescent="0.2">
      <c r="A87" s="10"/>
      <c r="B87" s="21" t="s">
        <v>4</v>
      </c>
      <c r="C87" s="29">
        <v>1.8945112643548956E-3</v>
      </c>
      <c r="D87" s="29">
        <v>9.5425522392067561E-3</v>
      </c>
      <c r="E87" s="29">
        <v>6.9685883291028011E-2</v>
      </c>
      <c r="F87" s="29">
        <v>0.1889866073193629</v>
      </c>
      <c r="G87" s="29">
        <v>0.37161644810280037</v>
      </c>
      <c r="H87" s="29">
        <v>0.17370328225469492</v>
      </c>
      <c r="I87" s="29">
        <v>1.3829363962035003E-2</v>
      </c>
      <c r="J87" s="6">
        <f t="shared" si="11"/>
        <v>0.17074135156651715</v>
      </c>
      <c r="K87" s="16"/>
      <c r="L87" s="36"/>
      <c r="M87" s="36"/>
      <c r="N87" s="36"/>
      <c r="O87" s="36"/>
      <c r="P87" s="36"/>
      <c r="Q87" s="36"/>
      <c r="R87" s="36"/>
      <c r="S87" s="36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</row>
    <row r="88" spans="1:111" s="2" customFormat="1" x14ac:dyDescent="0.2">
      <c r="A88" s="10"/>
      <c r="B88" s="21" t="s">
        <v>5</v>
      </c>
      <c r="C88" s="29">
        <v>5.5744192163487225E-4</v>
      </c>
      <c r="D88" s="29">
        <v>3.7813432267149905E-3</v>
      </c>
      <c r="E88" s="29">
        <v>2.2070775204261366E-2</v>
      </c>
      <c r="F88" s="29">
        <v>6.5164954707073036E-2</v>
      </c>
      <c r="G88" s="29">
        <v>0.18723449923591429</v>
      </c>
      <c r="H88" s="29">
        <v>0.26710908052234933</v>
      </c>
      <c r="I88" s="29">
        <v>2.6038756831701312E-2</v>
      </c>
      <c r="J88" s="6">
        <f t="shared" si="11"/>
        <v>0.42804314835035084</v>
      </c>
      <c r="K88" s="16"/>
      <c r="L88" s="36"/>
      <c r="M88" s="36"/>
      <c r="N88" s="36"/>
      <c r="O88" s="36"/>
      <c r="P88" s="36"/>
      <c r="Q88" s="36"/>
      <c r="R88" s="36"/>
      <c r="S88" s="36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</row>
    <row r="89" spans="1:111" s="2" customFormat="1" ht="13.5" thickBot="1" x14ac:dyDescent="0.25">
      <c r="A89" s="10"/>
      <c r="B89" s="27" t="s">
        <v>6</v>
      </c>
      <c r="C89" s="37">
        <v>1.8135551615822848E-4</v>
      </c>
      <c r="D89" s="37">
        <v>1.1204790461927562E-3</v>
      </c>
      <c r="E89" s="37">
        <v>8.5301876775836227E-3</v>
      </c>
      <c r="F89" s="37">
        <v>2.6830623971412591E-2</v>
      </c>
      <c r="G89" s="37">
        <v>5.7295051037334434E-2</v>
      </c>
      <c r="H89" s="37">
        <v>6.3819920184913129E-2</v>
      </c>
      <c r="I89" s="37">
        <v>4.1115662185633742E-2</v>
      </c>
      <c r="J89" s="7">
        <f t="shared" si="11"/>
        <v>0.80110672038077158</v>
      </c>
      <c r="K89" s="16"/>
      <c r="L89" s="36"/>
      <c r="M89" s="36"/>
      <c r="N89" s="36"/>
      <c r="O89" s="36"/>
      <c r="P89" s="36"/>
      <c r="Q89" s="36"/>
      <c r="R89" s="36"/>
      <c r="S89" s="36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</row>
    <row r="90" spans="1:111" s="2" customFormat="1" ht="13.5" thickBot="1" x14ac:dyDescent="0.25">
      <c r="A90" s="10"/>
      <c r="B90" s="38"/>
      <c r="C90" s="39"/>
      <c r="D90" s="39"/>
      <c r="E90" s="39"/>
      <c r="F90" s="39"/>
      <c r="G90" s="40"/>
      <c r="H90" s="40"/>
      <c r="I90" s="40"/>
      <c r="J90" s="10"/>
      <c r="K90" s="16"/>
      <c r="L90" s="36"/>
      <c r="M90" s="36"/>
      <c r="N90" s="36"/>
      <c r="O90" s="36"/>
      <c r="P90" s="36"/>
      <c r="Q90" s="36"/>
      <c r="R90" s="36"/>
      <c r="S90" s="36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</row>
    <row r="91" spans="1:111" s="2" customFormat="1" x14ac:dyDescent="0.2">
      <c r="A91" s="10"/>
      <c r="B91" s="13">
        <f>B82+1</f>
        <v>10</v>
      </c>
      <c r="C91" s="14" t="s">
        <v>0</v>
      </c>
      <c r="D91" s="14" t="s">
        <v>1</v>
      </c>
      <c r="E91" s="14" t="s">
        <v>2</v>
      </c>
      <c r="F91" s="14" t="s">
        <v>3</v>
      </c>
      <c r="G91" s="14" t="s">
        <v>4</v>
      </c>
      <c r="H91" s="14" t="s">
        <v>5</v>
      </c>
      <c r="I91" s="14" t="s">
        <v>6</v>
      </c>
      <c r="J91" s="15" t="s">
        <v>7</v>
      </c>
      <c r="K91" s="16"/>
      <c r="L91" s="36"/>
      <c r="M91" s="36"/>
      <c r="N91" s="36"/>
      <c r="O91" s="36"/>
      <c r="P91" s="36"/>
      <c r="Q91" s="36"/>
      <c r="R91" s="36"/>
      <c r="S91" s="36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</row>
    <row r="92" spans="1:111" s="2" customFormat="1" x14ac:dyDescent="0.2">
      <c r="A92" s="10"/>
      <c r="B92" s="21" t="s">
        <v>0</v>
      </c>
      <c r="C92" s="29">
        <f t="array" ref="C92:I98">MMULT(C83:I89,$C$11:$I$17)</f>
        <v>0.52907246817709552</v>
      </c>
      <c r="D92" s="29">
        <v>0.29488179073862392</v>
      </c>
      <c r="E92" s="29">
        <v>0.14258580578536081</v>
      </c>
      <c r="F92" s="29">
        <v>2.4024285683581968E-2</v>
      </c>
      <c r="G92" s="29">
        <v>6.4644821208785664E-3</v>
      </c>
      <c r="H92" s="29">
        <v>1.7778512721216646E-3</v>
      </c>
      <c r="I92" s="29">
        <v>1.3914359161470606E-4</v>
      </c>
      <c r="J92" s="6">
        <f>1-SUM(C92:I92)</f>
        <v>1.0541726307228272E-3</v>
      </c>
      <c r="K92" s="16"/>
      <c r="L92" s="36"/>
      <c r="M92" s="36"/>
      <c r="N92" s="36"/>
      <c r="O92" s="36"/>
      <c r="P92" s="36"/>
      <c r="Q92" s="36"/>
      <c r="R92" s="36"/>
      <c r="S92" s="36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</row>
    <row r="93" spans="1:111" s="2" customFormat="1" x14ac:dyDescent="0.2">
      <c r="A93" s="10"/>
      <c r="B93" s="21" t="s">
        <v>1</v>
      </c>
      <c r="C93" s="29">
        <v>8.0377074059687401E-2</v>
      </c>
      <c r="D93" s="29">
        <v>0.43109332412301116</v>
      </c>
      <c r="E93" s="29">
        <v>0.36697933980747383</v>
      </c>
      <c r="F93" s="29">
        <v>8.6230740930007849E-2</v>
      </c>
      <c r="G93" s="29">
        <v>2.2974616311588231E-2</v>
      </c>
      <c r="H93" s="29">
        <v>7.0730773532365118E-3</v>
      </c>
      <c r="I93" s="29">
        <v>5.8020126256423579E-4</v>
      </c>
      <c r="J93" s="6">
        <f t="shared" ref="J93:J98" si="12">1-SUM(C93:I93)</f>
        <v>4.6916261524309055E-3</v>
      </c>
      <c r="K93" s="16"/>
      <c r="L93" s="36"/>
      <c r="M93" s="36"/>
      <c r="N93" s="36"/>
      <c r="O93" s="36"/>
      <c r="P93" s="36"/>
      <c r="Q93" s="36"/>
      <c r="R93" s="36"/>
      <c r="S93" s="36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</row>
    <row r="94" spans="1:111" s="2" customFormat="1" x14ac:dyDescent="0.2">
      <c r="A94" s="10"/>
      <c r="B94" s="21" t="s">
        <v>2</v>
      </c>
      <c r="C94" s="29">
        <v>1.3419624062097926E-2</v>
      </c>
      <c r="D94" s="29">
        <v>0.11421488366239108</v>
      </c>
      <c r="E94" s="29">
        <v>0.55540324359672488</v>
      </c>
      <c r="F94" s="29">
        <v>0.21409559505382672</v>
      </c>
      <c r="G94" s="29">
        <v>6.5498181938229524E-2</v>
      </c>
      <c r="H94" s="29">
        <v>2.2108558336499773E-2</v>
      </c>
      <c r="I94" s="29">
        <v>1.8789817758554173E-3</v>
      </c>
      <c r="J94" s="6">
        <f t="shared" si="12"/>
        <v>1.3380931574374588E-2</v>
      </c>
      <c r="K94" s="16"/>
      <c r="L94" s="36"/>
      <c r="M94" s="36"/>
      <c r="N94" s="36"/>
      <c r="O94" s="36"/>
      <c r="P94" s="36"/>
      <c r="Q94" s="36"/>
      <c r="R94" s="36"/>
      <c r="S94" s="36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</row>
    <row r="95" spans="1:111" s="2" customFormat="1" x14ac:dyDescent="0.2">
      <c r="A95" s="10"/>
      <c r="B95" s="21" t="s">
        <v>3</v>
      </c>
      <c r="C95" s="29">
        <v>5.68497394966677E-3</v>
      </c>
      <c r="D95" s="29">
        <v>3.9078273422155203E-2</v>
      </c>
      <c r="E95" s="29">
        <v>0.25616349210822353</v>
      </c>
      <c r="F95" s="29">
        <v>0.39129797967119556</v>
      </c>
      <c r="G95" s="29">
        <v>0.17960757071605751</v>
      </c>
      <c r="H95" s="29">
        <v>6.7141560483282459E-2</v>
      </c>
      <c r="I95" s="29">
        <v>5.6637730943957946E-3</v>
      </c>
      <c r="J95" s="6">
        <f t="shared" si="12"/>
        <v>5.5362376555023185E-2</v>
      </c>
      <c r="K95" s="16"/>
      <c r="L95" s="36"/>
      <c r="M95" s="36"/>
      <c r="N95" s="36"/>
      <c r="O95" s="36"/>
      <c r="P95" s="36"/>
      <c r="Q95" s="36"/>
      <c r="R95" s="36"/>
      <c r="S95" s="36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</row>
    <row r="96" spans="1:111" s="2" customFormat="1" x14ac:dyDescent="0.2">
      <c r="A96" s="10"/>
      <c r="B96" s="21" t="s">
        <v>4</v>
      </c>
      <c r="C96" s="29">
        <v>2.1407053235426624E-3</v>
      </c>
      <c r="D96" s="29">
        <v>1.1088807876723457E-2</v>
      </c>
      <c r="E96" s="29">
        <v>7.7341395195622761E-2</v>
      </c>
      <c r="F96" s="29">
        <v>0.1906657656912133</v>
      </c>
      <c r="G96" s="29">
        <v>0.34360383161301811</v>
      </c>
      <c r="H96" s="29">
        <v>0.17024605667457121</v>
      </c>
      <c r="I96" s="29">
        <v>1.3937689902424208E-2</v>
      </c>
      <c r="J96" s="6">
        <f t="shared" si="12"/>
        <v>0.19097574772288439</v>
      </c>
      <c r="K96" s="16"/>
      <c r="L96" s="36"/>
      <c r="M96" s="36"/>
      <c r="N96" s="36"/>
      <c r="O96" s="36"/>
      <c r="P96" s="36"/>
      <c r="Q96" s="36"/>
      <c r="R96" s="36"/>
      <c r="S96" s="36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</row>
    <row r="97" spans="1:111" s="2" customFormat="1" x14ac:dyDescent="0.2">
      <c r="A97" s="10"/>
      <c r="B97" s="21" t="s">
        <v>5</v>
      </c>
      <c r="C97" s="29">
        <v>6.6700930060078437E-4</v>
      </c>
      <c r="D97" s="29">
        <v>4.3302217806579805E-3</v>
      </c>
      <c r="E97" s="29">
        <v>2.5412096137660226E-2</v>
      </c>
      <c r="F97" s="29">
        <v>6.9954789796915398E-2</v>
      </c>
      <c r="G97" s="29">
        <v>0.18342540944391639</v>
      </c>
      <c r="H97" s="29">
        <v>0.23757674204248655</v>
      </c>
      <c r="I97" s="29">
        <v>2.3624305004966456E-2</v>
      </c>
      <c r="J97" s="6">
        <f t="shared" si="12"/>
        <v>0.45500942649279619</v>
      </c>
      <c r="K97" s="16"/>
      <c r="L97" s="36"/>
      <c r="M97" s="36"/>
      <c r="N97" s="36"/>
      <c r="O97" s="36"/>
      <c r="P97" s="36"/>
      <c r="Q97" s="36"/>
      <c r="R97" s="36"/>
      <c r="S97" s="36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</row>
    <row r="98" spans="1:111" s="2" customFormat="1" ht="13.5" thickBot="1" x14ac:dyDescent="0.25">
      <c r="A98" s="10"/>
      <c r="B98" s="27" t="s">
        <v>6</v>
      </c>
      <c r="C98" s="37">
        <v>2.1827121830297051E-4</v>
      </c>
      <c r="D98" s="37">
        <v>1.3437896889545511E-3</v>
      </c>
      <c r="E98" s="37">
        <v>9.7720263927297182E-3</v>
      </c>
      <c r="F98" s="37">
        <v>2.7693566332974002E-2</v>
      </c>
      <c r="G98" s="37">
        <v>5.6007133110927997E-2</v>
      </c>
      <c r="H98" s="37">
        <v>5.9013639016528903E-2</v>
      </c>
      <c r="I98" s="37">
        <v>2.9830824348424878E-2</v>
      </c>
      <c r="J98" s="7">
        <f t="shared" si="12"/>
        <v>0.81612074989115702</v>
      </c>
      <c r="K98" s="16"/>
      <c r="L98" s="36"/>
      <c r="M98" s="36"/>
      <c r="N98" s="36"/>
      <c r="O98" s="36"/>
      <c r="P98" s="36"/>
      <c r="Q98" s="36"/>
      <c r="R98" s="36"/>
      <c r="S98" s="36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</row>
    <row r="99" spans="1:111" s="2" customFormat="1" x14ac:dyDescent="0.2">
      <c r="A99" s="10"/>
      <c r="B99" s="38"/>
      <c r="C99" s="39"/>
      <c r="D99" s="39"/>
      <c r="E99" s="39"/>
      <c r="F99" s="39"/>
      <c r="G99" s="40"/>
      <c r="H99" s="40"/>
      <c r="I99" s="40"/>
      <c r="J99" s="10"/>
      <c r="K99" s="16"/>
      <c r="L99" s="36"/>
      <c r="M99" s="36"/>
      <c r="N99" s="36"/>
      <c r="O99" s="36"/>
      <c r="P99" s="36"/>
      <c r="Q99" s="36"/>
      <c r="R99" s="36"/>
      <c r="S99" s="36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</row>
    <row r="100" spans="1:111" s="2" customFormat="1" x14ac:dyDescent="0.2">
      <c r="A100" s="10"/>
      <c r="B100" s="38"/>
      <c r="C100" s="39"/>
      <c r="D100" s="39"/>
      <c r="E100" s="39"/>
      <c r="F100" s="39"/>
      <c r="G100" s="40"/>
      <c r="H100" s="40"/>
      <c r="I100" s="40"/>
      <c r="J100" s="10"/>
      <c r="K100" s="16"/>
      <c r="L100" s="36"/>
      <c r="M100" s="36"/>
      <c r="N100" s="36"/>
      <c r="O100" s="36"/>
      <c r="P100" s="36"/>
      <c r="Q100" s="36"/>
      <c r="R100" s="36"/>
      <c r="S100" s="36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</row>
    <row r="101" spans="1:111" s="2" customFormat="1" x14ac:dyDescent="0.2">
      <c r="A101" s="10"/>
      <c r="B101" s="38"/>
      <c r="C101" s="39"/>
      <c r="D101" s="39"/>
      <c r="E101" s="39"/>
      <c r="F101" s="39"/>
      <c r="G101" s="40"/>
      <c r="H101" s="40"/>
      <c r="I101" s="40"/>
      <c r="J101" s="10"/>
      <c r="K101" s="16"/>
      <c r="L101" s="36"/>
      <c r="M101" s="36"/>
      <c r="N101" s="36"/>
      <c r="O101" s="36"/>
      <c r="P101" s="36"/>
      <c r="Q101" s="36"/>
      <c r="R101" s="36"/>
      <c r="S101" s="36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</row>
    <row r="102" spans="1:111" s="2" customFormat="1" x14ac:dyDescent="0.2">
      <c r="A102" s="10"/>
      <c r="B102" s="38"/>
      <c r="C102" s="39"/>
      <c r="D102" s="39"/>
      <c r="E102" s="39"/>
      <c r="F102" s="39"/>
      <c r="G102" s="40"/>
      <c r="H102" s="40"/>
      <c r="I102" s="40"/>
      <c r="J102" s="10"/>
      <c r="K102" s="16"/>
      <c r="L102" s="36"/>
      <c r="M102" s="36"/>
      <c r="N102" s="36"/>
      <c r="O102" s="36"/>
      <c r="P102" s="36"/>
      <c r="Q102" s="36"/>
      <c r="R102" s="36"/>
      <c r="S102" s="36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</row>
    <row r="103" spans="1:111" s="2" customFormat="1" x14ac:dyDescent="0.2">
      <c r="A103" s="10"/>
      <c r="B103" s="38"/>
      <c r="C103" s="39"/>
      <c r="D103" s="39"/>
      <c r="E103" s="39"/>
      <c r="F103" s="39"/>
      <c r="G103" s="40"/>
      <c r="H103" s="40"/>
      <c r="I103" s="40"/>
      <c r="J103" s="10"/>
      <c r="K103" s="16"/>
      <c r="L103" s="36"/>
      <c r="M103" s="36"/>
      <c r="N103" s="36"/>
      <c r="O103" s="36"/>
      <c r="P103" s="36"/>
      <c r="Q103" s="36"/>
      <c r="R103" s="36"/>
      <c r="S103" s="36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</row>
    <row r="104" spans="1:111" s="2" customFormat="1" x14ac:dyDescent="0.2">
      <c r="A104" s="10"/>
      <c r="B104" s="38"/>
      <c r="C104" s="39"/>
      <c r="D104" s="39"/>
      <c r="E104" s="39"/>
      <c r="F104" s="39"/>
      <c r="G104" s="40"/>
      <c r="H104" s="40"/>
      <c r="I104" s="40"/>
      <c r="J104" s="10"/>
      <c r="K104" s="16"/>
      <c r="L104" s="36"/>
      <c r="M104" s="36"/>
      <c r="N104" s="36"/>
      <c r="O104" s="36"/>
      <c r="P104" s="36"/>
      <c r="Q104" s="36"/>
      <c r="R104" s="36"/>
      <c r="S104" s="36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</row>
    <row r="105" spans="1:111" s="2" customFormat="1" x14ac:dyDescent="0.2">
      <c r="A105" s="10"/>
      <c r="B105" s="38"/>
      <c r="C105" s="39"/>
      <c r="D105" s="39"/>
      <c r="E105" s="39"/>
      <c r="F105" s="39"/>
      <c r="G105" s="40"/>
      <c r="H105" s="40"/>
      <c r="I105" s="40"/>
      <c r="J105" s="10"/>
      <c r="K105" s="16"/>
      <c r="L105" s="36"/>
      <c r="M105" s="36"/>
      <c r="N105" s="36"/>
      <c r="O105" s="36"/>
      <c r="P105" s="36"/>
      <c r="Q105" s="36"/>
      <c r="R105" s="36"/>
      <c r="S105" s="36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</row>
    <row r="106" spans="1:111" s="2" customFormat="1" x14ac:dyDescent="0.2">
      <c r="A106" s="10"/>
      <c r="B106" s="38"/>
      <c r="C106" s="39"/>
      <c r="D106" s="39"/>
      <c r="E106" s="39"/>
      <c r="F106" s="39"/>
      <c r="G106" s="40"/>
      <c r="H106" s="40"/>
      <c r="I106" s="40"/>
      <c r="J106" s="10"/>
      <c r="K106" s="16"/>
      <c r="L106" s="36"/>
      <c r="M106" s="36"/>
      <c r="N106" s="36"/>
      <c r="O106" s="36"/>
      <c r="P106" s="36"/>
      <c r="Q106" s="36"/>
      <c r="R106" s="36"/>
      <c r="S106" s="36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</row>
    <row r="107" spans="1:111" s="2" customFormat="1" x14ac:dyDescent="0.2">
      <c r="A107" s="10"/>
      <c r="B107" s="38"/>
      <c r="C107" s="39"/>
      <c r="D107" s="39"/>
      <c r="E107" s="39"/>
      <c r="F107" s="39"/>
      <c r="G107" s="40"/>
      <c r="H107" s="40"/>
      <c r="I107" s="40"/>
      <c r="J107" s="10"/>
      <c r="K107" s="16"/>
      <c r="L107" s="36"/>
      <c r="M107" s="36"/>
      <c r="N107" s="36"/>
      <c r="O107" s="36"/>
      <c r="P107" s="36"/>
      <c r="Q107" s="36"/>
      <c r="R107" s="36"/>
      <c r="S107" s="36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</row>
    <row r="108" spans="1:111" s="2" customFormat="1" x14ac:dyDescent="0.2">
      <c r="A108" s="10"/>
      <c r="B108" s="38"/>
      <c r="C108" s="39"/>
      <c r="D108" s="39"/>
      <c r="E108" s="39"/>
      <c r="F108" s="39"/>
      <c r="G108" s="40"/>
      <c r="H108" s="40"/>
      <c r="I108" s="40"/>
      <c r="J108" s="10"/>
      <c r="K108" s="16"/>
      <c r="L108" s="36"/>
      <c r="M108" s="36"/>
      <c r="N108" s="36"/>
      <c r="O108" s="36"/>
      <c r="P108" s="36"/>
      <c r="Q108" s="36"/>
      <c r="R108" s="36"/>
      <c r="S108" s="36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</row>
    <row r="109" spans="1:111" s="2" customFormat="1" x14ac:dyDescent="0.2">
      <c r="A109" s="10"/>
      <c r="B109" s="38"/>
      <c r="C109" s="39"/>
      <c r="D109" s="39"/>
      <c r="E109" s="39"/>
      <c r="F109" s="39"/>
      <c r="G109" s="40"/>
      <c r="H109" s="40"/>
      <c r="I109" s="40"/>
      <c r="J109" s="10"/>
      <c r="K109" s="16"/>
      <c r="L109" s="36"/>
      <c r="M109" s="36"/>
      <c r="N109" s="36"/>
      <c r="O109" s="36"/>
      <c r="P109" s="36"/>
      <c r="Q109" s="36"/>
      <c r="R109" s="36"/>
      <c r="S109" s="36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</row>
    <row r="110" spans="1:111" s="2" customFormat="1" x14ac:dyDescent="0.2">
      <c r="A110" s="10"/>
      <c r="B110" s="38"/>
      <c r="C110" s="39"/>
      <c r="D110" s="39"/>
      <c r="E110" s="39"/>
      <c r="F110" s="39"/>
      <c r="G110" s="40"/>
      <c r="H110" s="40"/>
      <c r="I110" s="40"/>
      <c r="J110" s="10"/>
      <c r="K110" s="16"/>
      <c r="L110" s="36"/>
      <c r="M110" s="36"/>
      <c r="N110" s="36"/>
      <c r="O110" s="36"/>
      <c r="P110" s="36"/>
      <c r="Q110" s="36"/>
      <c r="R110" s="36"/>
      <c r="S110" s="36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</row>
    <row r="111" spans="1:111" s="2" customFormat="1" x14ac:dyDescent="0.2">
      <c r="A111" s="10"/>
      <c r="B111" s="38"/>
      <c r="C111" s="39"/>
      <c r="D111" s="39"/>
      <c r="E111" s="39"/>
      <c r="F111" s="39"/>
      <c r="G111" s="40"/>
      <c r="H111" s="40"/>
      <c r="I111" s="40"/>
      <c r="J111" s="10"/>
      <c r="K111" s="16"/>
      <c r="L111" s="36"/>
      <c r="M111" s="36"/>
      <c r="N111" s="36"/>
      <c r="O111" s="36"/>
      <c r="P111" s="36"/>
      <c r="Q111" s="36"/>
      <c r="R111" s="36"/>
      <c r="S111" s="36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</row>
    <row r="112" spans="1:111" s="2" customFormat="1" x14ac:dyDescent="0.2">
      <c r="A112" s="10"/>
      <c r="B112" s="38"/>
      <c r="C112" s="39"/>
      <c r="D112" s="39"/>
      <c r="E112" s="39"/>
      <c r="F112" s="39"/>
      <c r="G112" s="40"/>
      <c r="H112" s="40"/>
      <c r="I112" s="40"/>
      <c r="J112" s="10"/>
      <c r="K112" s="16"/>
      <c r="L112" s="36"/>
      <c r="M112" s="36"/>
      <c r="N112" s="36"/>
      <c r="O112" s="36"/>
      <c r="P112" s="36"/>
      <c r="Q112" s="36"/>
      <c r="R112" s="36"/>
      <c r="S112" s="36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</row>
    <row r="113" spans="1:111" s="2" customFormat="1" x14ac:dyDescent="0.2">
      <c r="A113" s="10"/>
      <c r="B113" s="38"/>
      <c r="C113" s="39"/>
      <c r="D113" s="39"/>
      <c r="E113" s="39"/>
      <c r="F113" s="39"/>
      <c r="G113" s="40"/>
      <c r="H113" s="40"/>
      <c r="I113" s="40"/>
      <c r="J113" s="10"/>
      <c r="K113" s="16"/>
      <c r="L113" s="36"/>
      <c r="M113" s="36"/>
      <c r="N113" s="36"/>
      <c r="O113" s="36"/>
      <c r="P113" s="36"/>
      <c r="Q113" s="36"/>
      <c r="R113" s="36"/>
      <c r="S113" s="36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</row>
    <row r="114" spans="1:111" s="2" customFormat="1" x14ac:dyDescent="0.2">
      <c r="A114" s="10"/>
      <c r="B114" s="38"/>
      <c r="C114" s="39"/>
      <c r="D114" s="39"/>
      <c r="E114" s="39"/>
      <c r="F114" s="39"/>
      <c r="G114" s="40"/>
      <c r="H114" s="40"/>
      <c r="I114" s="40"/>
      <c r="J114" s="10"/>
      <c r="K114" s="16"/>
      <c r="L114" s="36"/>
      <c r="M114" s="36"/>
      <c r="N114" s="36"/>
      <c r="O114" s="36"/>
      <c r="P114" s="36"/>
      <c r="Q114" s="36"/>
      <c r="R114" s="36"/>
      <c r="S114" s="36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</row>
    <row r="115" spans="1:111" s="2" customFormat="1" x14ac:dyDescent="0.2">
      <c r="A115" s="10"/>
      <c r="B115" s="38"/>
      <c r="C115" s="39"/>
      <c r="D115" s="39"/>
      <c r="E115" s="39"/>
      <c r="F115" s="39"/>
      <c r="G115" s="40"/>
      <c r="H115" s="40"/>
      <c r="I115" s="40"/>
      <c r="J115" s="10"/>
      <c r="K115" s="16"/>
      <c r="L115" s="36"/>
      <c r="M115" s="36"/>
      <c r="N115" s="36"/>
      <c r="O115" s="36"/>
      <c r="P115" s="36"/>
      <c r="Q115" s="36"/>
      <c r="R115" s="36"/>
      <c r="S115" s="36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</row>
    <row r="116" spans="1:111" s="2" customFormat="1" x14ac:dyDescent="0.2">
      <c r="A116" s="10"/>
      <c r="B116" s="38"/>
      <c r="C116" s="39"/>
      <c r="D116" s="39"/>
      <c r="E116" s="39"/>
      <c r="F116" s="39"/>
      <c r="G116" s="40"/>
      <c r="H116" s="40"/>
      <c r="I116" s="40"/>
      <c r="J116" s="10"/>
      <c r="K116" s="16"/>
      <c r="L116" s="36"/>
      <c r="M116" s="36"/>
      <c r="N116" s="36"/>
      <c r="O116" s="36"/>
      <c r="P116" s="36"/>
      <c r="Q116" s="36"/>
      <c r="R116" s="36"/>
      <c r="S116" s="36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</row>
    <row r="117" spans="1:111" s="2" customFormat="1" x14ac:dyDescent="0.2">
      <c r="A117" s="10"/>
      <c r="B117" s="38"/>
      <c r="C117" s="39"/>
      <c r="D117" s="39"/>
      <c r="E117" s="39"/>
      <c r="F117" s="39"/>
      <c r="G117" s="40"/>
      <c r="H117" s="40"/>
      <c r="I117" s="40"/>
      <c r="J117" s="10"/>
      <c r="K117" s="16"/>
      <c r="L117" s="36"/>
      <c r="M117" s="36"/>
      <c r="N117" s="36"/>
      <c r="O117" s="36"/>
      <c r="P117" s="36"/>
      <c r="Q117" s="36"/>
      <c r="R117" s="36"/>
      <c r="S117" s="36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</row>
    <row r="118" spans="1:111" s="2" customFormat="1" x14ac:dyDescent="0.2">
      <c r="A118" s="10"/>
      <c r="B118" s="38"/>
      <c r="C118" s="39"/>
      <c r="D118" s="39"/>
      <c r="E118" s="39"/>
      <c r="F118" s="39"/>
      <c r="G118" s="40"/>
      <c r="H118" s="40"/>
      <c r="I118" s="40"/>
      <c r="J118" s="10"/>
      <c r="K118" s="16"/>
      <c r="L118" s="36"/>
      <c r="M118" s="36"/>
      <c r="N118" s="36"/>
      <c r="O118" s="36"/>
      <c r="P118" s="36"/>
      <c r="Q118" s="36"/>
      <c r="R118" s="36"/>
      <c r="S118" s="36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</row>
    <row r="119" spans="1:111" s="2" customFormat="1" x14ac:dyDescent="0.2">
      <c r="A119" s="10"/>
      <c r="B119" s="38"/>
      <c r="C119" s="39"/>
      <c r="D119" s="39"/>
      <c r="E119" s="39"/>
      <c r="F119" s="39"/>
      <c r="G119" s="40"/>
      <c r="H119" s="40"/>
      <c r="I119" s="40"/>
      <c r="J119" s="10"/>
      <c r="K119" s="16"/>
      <c r="L119" s="36"/>
      <c r="M119" s="36"/>
      <c r="N119" s="36"/>
      <c r="O119" s="36"/>
      <c r="P119" s="36"/>
      <c r="Q119" s="36"/>
      <c r="R119" s="36"/>
      <c r="S119" s="36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</row>
    <row r="120" spans="1:111" s="2" customFormat="1" x14ac:dyDescent="0.2">
      <c r="A120" s="10"/>
      <c r="B120" s="38"/>
      <c r="C120" s="39"/>
      <c r="D120" s="39"/>
      <c r="E120" s="39"/>
      <c r="F120" s="39"/>
      <c r="G120" s="40"/>
      <c r="H120" s="40"/>
      <c r="I120" s="40"/>
      <c r="J120" s="10"/>
      <c r="K120" s="16"/>
      <c r="L120" s="36"/>
      <c r="M120" s="36"/>
      <c r="N120" s="36"/>
      <c r="O120" s="36"/>
      <c r="P120" s="36"/>
      <c r="Q120" s="36"/>
      <c r="R120" s="36"/>
      <c r="S120" s="36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</row>
    <row r="121" spans="1:111" s="2" customFormat="1" x14ac:dyDescent="0.2">
      <c r="A121" s="10"/>
      <c r="B121" s="38"/>
      <c r="C121" s="39"/>
      <c r="D121" s="39"/>
      <c r="E121" s="39"/>
      <c r="F121" s="39"/>
      <c r="G121" s="40"/>
      <c r="H121" s="40"/>
      <c r="I121" s="40"/>
      <c r="J121" s="10"/>
      <c r="K121" s="16"/>
      <c r="L121" s="36"/>
      <c r="M121" s="36"/>
      <c r="N121" s="36"/>
      <c r="O121" s="36"/>
      <c r="P121" s="36"/>
      <c r="Q121" s="36"/>
      <c r="R121" s="36"/>
      <c r="S121" s="36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</row>
    <row r="122" spans="1:111" s="2" customFormat="1" x14ac:dyDescent="0.2">
      <c r="A122" s="10"/>
      <c r="B122" s="38"/>
      <c r="C122" s="39"/>
      <c r="D122" s="39"/>
      <c r="E122" s="39"/>
      <c r="F122" s="39"/>
      <c r="G122" s="40"/>
      <c r="H122" s="40"/>
      <c r="I122" s="40"/>
      <c r="J122" s="10"/>
      <c r="K122" s="16"/>
      <c r="L122" s="36"/>
      <c r="M122" s="36"/>
      <c r="N122" s="36"/>
      <c r="O122" s="36"/>
      <c r="P122" s="36"/>
      <c r="Q122" s="36"/>
      <c r="R122" s="36"/>
      <c r="S122" s="36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</row>
    <row r="123" spans="1:111" s="2" customFormat="1" x14ac:dyDescent="0.2">
      <c r="A123" s="10"/>
      <c r="B123" s="38"/>
      <c r="C123" s="39"/>
      <c r="D123" s="39"/>
      <c r="E123" s="39"/>
      <c r="F123" s="39"/>
      <c r="G123" s="40"/>
      <c r="H123" s="40"/>
      <c r="I123" s="40"/>
      <c r="J123" s="10"/>
      <c r="K123" s="16"/>
      <c r="L123" s="36"/>
      <c r="M123" s="36"/>
      <c r="N123" s="36"/>
      <c r="O123" s="36"/>
      <c r="P123" s="36"/>
      <c r="Q123" s="36"/>
      <c r="R123" s="36"/>
      <c r="S123" s="36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</row>
    <row r="124" spans="1:111" s="2" customFormat="1" x14ac:dyDescent="0.2">
      <c r="A124" s="10"/>
      <c r="B124" s="38"/>
      <c r="C124" s="39"/>
      <c r="D124" s="39"/>
      <c r="E124" s="39"/>
      <c r="F124" s="39"/>
      <c r="G124" s="40"/>
      <c r="H124" s="40"/>
      <c r="I124" s="40"/>
      <c r="J124" s="10"/>
      <c r="K124" s="16"/>
      <c r="L124" s="36"/>
      <c r="M124" s="36"/>
      <c r="N124" s="36"/>
      <c r="O124" s="36"/>
      <c r="P124" s="36"/>
      <c r="Q124" s="36"/>
      <c r="R124" s="36"/>
      <c r="S124" s="36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</row>
    <row r="125" spans="1:111" s="2" customFormat="1" x14ac:dyDescent="0.2">
      <c r="A125" s="10"/>
      <c r="B125" s="38"/>
      <c r="C125" s="39"/>
      <c r="D125" s="39"/>
      <c r="E125" s="39"/>
      <c r="F125" s="39"/>
      <c r="G125" s="40"/>
      <c r="H125" s="40"/>
      <c r="I125" s="40"/>
      <c r="J125" s="10"/>
      <c r="K125" s="16"/>
      <c r="L125" s="36"/>
      <c r="M125" s="36"/>
      <c r="N125" s="36"/>
      <c r="O125" s="36"/>
      <c r="P125" s="36"/>
      <c r="Q125" s="36"/>
      <c r="R125" s="36"/>
      <c r="S125" s="36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</row>
    <row r="126" spans="1:111" s="2" customFormat="1" x14ac:dyDescent="0.2">
      <c r="A126" s="10"/>
      <c r="B126" s="38"/>
      <c r="C126" s="39"/>
      <c r="D126" s="39"/>
      <c r="E126" s="39"/>
      <c r="F126" s="39"/>
      <c r="G126" s="40"/>
      <c r="H126" s="40"/>
      <c r="I126" s="40"/>
      <c r="J126" s="10"/>
      <c r="K126" s="16"/>
      <c r="L126" s="36"/>
      <c r="M126" s="36"/>
      <c r="N126" s="36"/>
      <c r="O126" s="36"/>
      <c r="P126" s="36"/>
      <c r="Q126" s="36"/>
      <c r="R126" s="36"/>
      <c r="S126" s="36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</row>
    <row r="127" spans="1:111" s="2" customFormat="1" x14ac:dyDescent="0.2">
      <c r="A127" s="10"/>
      <c r="B127" s="38"/>
      <c r="C127" s="39"/>
      <c r="D127" s="39"/>
      <c r="E127" s="39"/>
      <c r="F127" s="39"/>
      <c r="G127" s="40"/>
      <c r="H127" s="40"/>
      <c r="I127" s="40"/>
      <c r="J127" s="10"/>
      <c r="K127" s="16"/>
      <c r="L127" s="36"/>
      <c r="M127" s="36"/>
      <c r="N127" s="36"/>
      <c r="O127" s="36"/>
      <c r="P127" s="36"/>
      <c r="Q127" s="36"/>
      <c r="R127" s="36"/>
      <c r="S127" s="36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</row>
    <row r="128" spans="1:111" s="2" customFormat="1" x14ac:dyDescent="0.2">
      <c r="A128" s="10"/>
      <c r="B128" s="38"/>
      <c r="C128" s="39"/>
      <c r="D128" s="39"/>
      <c r="E128" s="39"/>
      <c r="F128" s="39"/>
      <c r="G128" s="40"/>
      <c r="H128" s="40"/>
      <c r="I128" s="40"/>
      <c r="J128" s="10"/>
      <c r="K128" s="16"/>
      <c r="L128" s="36"/>
      <c r="M128" s="36"/>
      <c r="N128" s="36"/>
      <c r="O128" s="36"/>
      <c r="P128" s="36"/>
      <c r="Q128" s="36"/>
      <c r="R128" s="36"/>
      <c r="S128" s="36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</row>
    <row r="129" spans="1:111" s="2" customFormat="1" x14ac:dyDescent="0.2">
      <c r="A129" s="10"/>
      <c r="B129" s="38"/>
      <c r="C129" s="39"/>
      <c r="D129" s="39"/>
      <c r="E129" s="39"/>
      <c r="F129" s="39"/>
      <c r="G129" s="40"/>
      <c r="H129" s="40"/>
      <c r="I129" s="40"/>
      <c r="J129" s="10"/>
      <c r="K129" s="16"/>
      <c r="L129" s="36"/>
      <c r="M129" s="36"/>
      <c r="N129" s="36"/>
      <c r="O129" s="36"/>
      <c r="P129" s="36"/>
      <c r="Q129" s="36"/>
      <c r="R129" s="36"/>
      <c r="S129" s="36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</row>
    <row r="130" spans="1:111" s="2" customFormat="1" x14ac:dyDescent="0.2">
      <c r="A130" s="10"/>
      <c r="B130" s="38"/>
      <c r="C130" s="39"/>
      <c r="D130" s="39"/>
      <c r="E130" s="39"/>
      <c r="F130" s="39"/>
      <c r="G130" s="40"/>
      <c r="H130" s="40"/>
      <c r="I130" s="40"/>
      <c r="J130" s="10"/>
      <c r="K130" s="16"/>
      <c r="L130" s="36"/>
      <c r="M130" s="36"/>
      <c r="N130" s="36"/>
      <c r="O130" s="36"/>
      <c r="P130" s="36"/>
      <c r="Q130" s="36"/>
      <c r="R130" s="36"/>
      <c r="S130" s="36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</row>
    <row r="131" spans="1:111" s="2" customFormat="1" x14ac:dyDescent="0.2">
      <c r="A131" s="10"/>
      <c r="B131" s="38"/>
      <c r="C131" s="39"/>
      <c r="D131" s="39"/>
      <c r="E131" s="39"/>
      <c r="F131" s="39"/>
      <c r="G131" s="40"/>
      <c r="H131" s="40"/>
      <c r="I131" s="40"/>
      <c r="J131" s="10"/>
      <c r="K131" s="16"/>
      <c r="L131" s="36"/>
      <c r="M131" s="36"/>
      <c r="N131" s="36"/>
      <c r="O131" s="36"/>
      <c r="P131" s="36"/>
      <c r="Q131" s="36"/>
      <c r="R131" s="36"/>
      <c r="S131" s="36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</row>
    <row r="132" spans="1:111" s="2" customFormat="1" x14ac:dyDescent="0.2">
      <c r="A132" s="10"/>
      <c r="B132" s="38"/>
      <c r="C132" s="39"/>
      <c r="D132" s="39"/>
      <c r="E132" s="39"/>
      <c r="F132" s="39"/>
      <c r="G132" s="40"/>
      <c r="H132" s="40"/>
      <c r="I132" s="40"/>
      <c r="J132" s="10"/>
      <c r="K132" s="16"/>
      <c r="L132" s="36"/>
      <c r="M132" s="36"/>
      <c r="N132" s="36"/>
      <c r="O132" s="36"/>
      <c r="P132" s="36"/>
      <c r="Q132" s="36"/>
      <c r="R132" s="36"/>
      <c r="S132" s="36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</row>
    <row r="133" spans="1:111" s="2" customFormat="1" x14ac:dyDescent="0.2">
      <c r="A133" s="10"/>
      <c r="B133" s="38"/>
      <c r="C133" s="39"/>
      <c r="D133" s="39"/>
      <c r="E133" s="39"/>
      <c r="F133" s="39"/>
      <c r="G133" s="40"/>
      <c r="H133" s="40"/>
      <c r="I133" s="40"/>
      <c r="J133" s="10"/>
      <c r="K133" s="16"/>
      <c r="L133" s="36"/>
      <c r="M133" s="36"/>
      <c r="N133" s="36"/>
      <c r="O133" s="36"/>
      <c r="P133" s="36"/>
      <c r="Q133" s="36"/>
      <c r="R133" s="36"/>
      <c r="S133" s="36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</row>
    <row r="134" spans="1:111" s="2" customFormat="1" x14ac:dyDescent="0.2">
      <c r="A134" s="10"/>
      <c r="B134" s="38"/>
      <c r="C134" s="39"/>
      <c r="D134" s="39"/>
      <c r="E134" s="39"/>
      <c r="F134" s="39"/>
      <c r="G134" s="40"/>
      <c r="H134" s="40"/>
      <c r="I134" s="40"/>
      <c r="J134" s="10"/>
      <c r="K134" s="16"/>
      <c r="L134" s="36"/>
      <c r="M134" s="36"/>
      <c r="N134" s="36"/>
      <c r="O134" s="36"/>
      <c r="P134" s="36"/>
      <c r="Q134" s="36"/>
      <c r="R134" s="36"/>
      <c r="S134" s="36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</row>
    <row r="135" spans="1:111" s="2" customFormat="1" x14ac:dyDescent="0.2">
      <c r="A135" s="10"/>
      <c r="B135" s="38"/>
      <c r="C135" s="39"/>
      <c r="D135" s="39"/>
      <c r="E135" s="39"/>
      <c r="F135" s="39"/>
      <c r="G135" s="40"/>
      <c r="H135" s="40"/>
      <c r="I135" s="40"/>
      <c r="J135" s="10"/>
      <c r="K135" s="11"/>
      <c r="L135" s="11"/>
      <c r="M135" s="11"/>
      <c r="N135" s="11"/>
      <c r="O135" s="11"/>
      <c r="P135" s="11"/>
      <c r="Q135" s="11"/>
      <c r="R135" s="11"/>
      <c r="S135" s="11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</row>
    <row r="136" spans="1:111" s="2" customFormat="1" x14ac:dyDescent="0.2">
      <c r="A136" s="10"/>
      <c r="B136" s="38"/>
      <c r="C136" s="39"/>
      <c r="D136" s="39"/>
      <c r="E136" s="39"/>
      <c r="F136" s="39"/>
      <c r="G136" s="40"/>
      <c r="H136" s="40"/>
      <c r="I136" s="40"/>
      <c r="J136" s="10"/>
      <c r="K136" s="11"/>
      <c r="L136" s="11"/>
      <c r="M136" s="11"/>
      <c r="N136" s="11"/>
      <c r="O136" s="11"/>
      <c r="P136" s="11"/>
      <c r="Q136" s="11"/>
      <c r="R136" s="11"/>
      <c r="S136" s="11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</row>
    <row r="137" spans="1:111" s="2" customFormat="1" x14ac:dyDescent="0.2">
      <c r="A137" s="10"/>
      <c r="B137" s="38"/>
      <c r="C137" s="39"/>
      <c r="D137" s="39"/>
      <c r="E137" s="39"/>
      <c r="F137" s="39"/>
      <c r="G137" s="40"/>
      <c r="H137" s="40"/>
      <c r="I137" s="40"/>
      <c r="J137" s="10"/>
      <c r="K137" s="16"/>
      <c r="L137" s="36"/>
      <c r="M137" s="36"/>
      <c r="N137" s="36"/>
      <c r="O137" s="36"/>
      <c r="P137" s="36"/>
      <c r="Q137" s="36"/>
      <c r="R137" s="36"/>
      <c r="S137" s="36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</row>
    <row r="138" spans="1:111" s="2" customFormat="1" x14ac:dyDescent="0.2">
      <c r="A138" s="10"/>
      <c r="B138" s="38"/>
      <c r="C138" s="39"/>
      <c r="D138" s="39"/>
      <c r="E138" s="39"/>
      <c r="F138" s="39"/>
      <c r="G138" s="40"/>
      <c r="H138" s="40"/>
      <c r="I138" s="40"/>
      <c r="J138" s="10"/>
      <c r="K138" s="16"/>
      <c r="L138" s="36"/>
      <c r="M138" s="36"/>
      <c r="N138" s="36"/>
      <c r="O138" s="36"/>
      <c r="P138" s="36"/>
      <c r="Q138" s="36"/>
      <c r="R138" s="36"/>
      <c r="S138" s="36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</row>
    <row r="139" spans="1:111" s="2" customFormat="1" x14ac:dyDescent="0.2">
      <c r="A139" s="10"/>
      <c r="B139" s="38"/>
      <c r="C139" s="39"/>
      <c r="D139" s="39"/>
      <c r="E139" s="39"/>
      <c r="F139" s="39"/>
      <c r="G139" s="40"/>
      <c r="H139" s="40"/>
      <c r="I139" s="40"/>
      <c r="J139" s="10"/>
      <c r="K139" s="16"/>
      <c r="L139" s="36"/>
      <c r="M139" s="36"/>
      <c r="N139" s="36"/>
      <c r="O139" s="36"/>
      <c r="P139" s="36"/>
      <c r="Q139" s="36"/>
      <c r="R139" s="36"/>
      <c r="S139" s="36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</row>
    <row r="140" spans="1:111" s="2" customFormat="1" x14ac:dyDescent="0.2">
      <c r="A140" s="10"/>
      <c r="B140" s="38"/>
      <c r="C140" s="39"/>
      <c r="D140" s="39"/>
      <c r="E140" s="39"/>
      <c r="F140" s="39"/>
      <c r="G140" s="40"/>
      <c r="H140" s="40"/>
      <c r="I140" s="40"/>
      <c r="J140" s="10"/>
      <c r="K140" s="16"/>
      <c r="L140" s="36"/>
      <c r="M140" s="36"/>
      <c r="N140" s="36"/>
      <c r="O140" s="36"/>
      <c r="P140" s="36"/>
      <c r="Q140" s="36"/>
      <c r="R140" s="36"/>
      <c r="S140" s="36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</row>
    <row r="141" spans="1:111" s="2" customFormat="1" x14ac:dyDescent="0.2">
      <c r="A141" s="10"/>
      <c r="B141" s="38"/>
      <c r="C141" s="39"/>
      <c r="D141" s="39"/>
      <c r="E141" s="39"/>
      <c r="F141" s="39"/>
      <c r="G141" s="40"/>
      <c r="H141" s="40"/>
      <c r="I141" s="40"/>
      <c r="J141" s="10"/>
      <c r="K141" s="16"/>
      <c r="L141" s="36"/>
      <c r="M141" s="36"/>
      <c r="N141" s="36"/>
      <c r="O141" s="36"/>
      <c r="P141" s="36"/>
      <c r="Q141" s="36"/>
      <c r="R141" s="36"/>
      <c r="S141" s="36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</row>
    <row r="142" spans="1:111" s="2" customFormat="1" x14ac:dyDescent="0.2">
      <c r="A142" s="10"/>
      <c r="B142" s="38"/>
      <c r="C142" s="39"/>
      <c r="D142" s="39"/>
      <c r="E142" s="39"/>
      <c r="F142" s="39"/>
      <c r="G142" s="40"/>
      <c r="H142" s="40"/>
      <c r="I142" s="40"/>
      <c r="J142" s="10"/>
      <c r="K142" s="16"/>
      <c r="L142" s="36"/>
      <c r="M142" s="36"/>
      <c r="N142" s="36"/>
      <c r="O142" s="36"/>
      <c r="P142" s="36"/>
      <c r="Q142" s="36"/>
      <c r="R142" s="36"/>
      <c r="S142" s="36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</row>
    <row r="143" spans="1:111" s="2" customFormat="1" x14ac:dyDescent="0.2">
      <c r="A143" s="10"/>
      <c r="B143" s="38"/>
      <c r="C143" s="39"/>
      <c r="D143" s="39"/>
      <c r="E143" s="39"/>
      <c r="F143" s="39"/>
      <c r="G143" s="40"/>
      <c r="H143" s="40"/>
      <c r="I143" s="40"/>
      <c r="J143" s="10"/>
      <c r="K143" s="16"/>
      <c r="L143" s="36"/>
      <c r="M143" s="36"/>
      <c r="N143" s="36"/>
      <c r="O143" s="36"/>
      <c r="P143" s="36"/>
      <c r="Q143" s="36"/>
      <c r="R143" s="36"/>
      <c r="S143" s="36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</row>
    <row r="144" spans="1:111" s="2" customFormat="1" x14ac:dyDescent="0.2">
      <c r="A144" s="10"/>
      <c r="B144" s="38"/>
      <c r="C144" s="39"/>
      <c r="D144" s="39"/>
      <c r="E144" s="39"/>
      <c r="F144" s="39"/>
      <c r="G144" s="40"/>
      <c r="H144" s="40"/>
      <c r="I144" s="40"/>
      <c r="J144" s="10"/>
      <c r="K144" s="16"/>
      <c r="L144" s="36"/>
      <c r="M144" s="36"/>
      <c r="N144" s="36"/>
      <c r="O144" s="36"/>
      <c r="P144" s="36"/>
      <c r="Q144" s="36"/>
      <c r="R144" s="36"/>
      <c r="S144" s="36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</row>
    <row r="145" spans="1:111" s="2" customFormat="1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6"/>
      <c r="L145" s="36"/>
      <c r="M145" s="36"/>
      <c r="N145" s="36"/>
      <c r="O145" s="36"/>
      <c r="P145" s="36"/>
      <c r="Q145" s="36"/>
      <c r="R145" s="36"/>
      <c r="S145" s="36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</row>
    <row r="146" spans="1:111" s="2" customFormat="1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6"/>
      <c r="L146" s="36"/>
      <c r="M146" s="36"/>
      <c r="N146" s="36"/>
      <c r="O146" s="36"/>
      <c r="P146" s="36"/>
      <c r="Q146" s="36"/>
      <c r="R146" s="36"/>
      <c r="S146" s="36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</row>
    <row r="147" spans="1:111" s="2" customFormat="1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6"/>
      <c r="L147" s="36"/>
      <c r="M147" s="36"/>
      <c r="N147" s="36"/>
      <c r="O147" s="36"/>
      <c r="P147" s="36"/>
      <c r="Q147" s="36"/>
      <c r="R147" s="36"/>
      <c r="S147" s="36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</row>
    <row r="148" spans="1:111" s="2" customFormat="1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6"/>
      <c r="L148" s="36"/>
      <c r="M148" s="36"/>
      <c r="N148" s="36"/>
      <c r="O148" s="36"/>
      <c r="P148" s="36"/>
      <c r="Q148" s="36"/>
      <c r="R148" s="36"/>
      <c r="S148" s="36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</row>
    <row r="149" spans="1:111" s="2" customFormat="1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6"/>
      <c r="L149" s="36"/>
      <c r="M149" s="36"/>
      <c r="N149" s="36"/>
      <c r="O149" s="36"/>
      <c r="P149" s="36"/>
      <c r="Q149" s="36"/>
      <c r="R149" s="36"/>
      <c r="S149" s="36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</row>
    <row r="150" spans="1:111" s="2" customFormat="1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6"/>
      <c r="L150" s="36"/>
      <c r="M150" s="36"/>
      <c r="N150" s="36"/>
      <c r="O150" s="36"/>
      <c r="P150" s="36"/>
      <c r="Q150" s="36"/>
      <c r="R150" s="36"/>
      <c r="S150" s="36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</row>
    <row r="151" spans="1:111" s="2" customFormat="1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6"/>
      <c r="L151" s="36"/>
      <c r="M151" s="36"/>
      <c r="N151" s="36"/>
      <c r="O151" s="36"/>
      <c r="P151" s="36"/>
      <c r="Q151" s="36"/>
      <c r="R151" s="36"/>
      <c r="S151" s="36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</row>
    <row r="152" spans="1:111" s="2" customFormat="1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6"/>
      <c r="L152" s="36"/>
      <c r="M152" s="36"/>
      <c r="N152" s="36"/>
      <c r="O152" s="36"/>
      <c r="P152" s="36"/>
      <c r="Q152" s="36"/>
      <c r="R152" s="36"/>
      <c r="S152" s="36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</row>
    <row r="153" spans="1:111" s="2" customFormat="1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6"/>
      <c r="L153" s="36"/>
      <c r="M153" s="36"/>
      <c r="N153" s="36"/>
      <c r="O153" s="36"/>
      <c r="P153" s="36"/>
      <c r="Q153" s="36"/>
      <c r="R153" s="36"/>
      <c r="S153" s="36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</row>
    <row r="154" spans="1:111" s="2" customFormat="1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6"/>
      <c r="L154" s="36"/>
      <c r="M154" s="36"/>
      <c r="N154" s="36"/>
      <c r="O154" s="36"/>
      <c r="P154" s="36"/>
      <c r="Q154" s="36"/>
      <c r="R154" s="36"/>
      <c r="S154" s="36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</row>
    <row r="155" spans="1:111" s="2" customFormat="1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6"/>
      <c r="L155" s="36"/>
      <c r="M155" s="36"/>
      <c r="N155" s="36"/>
      <c r="O155" s="36"/>
      <c r="P155" s="36"/>
      <c r="Q155" s="36"/>
      <c r="R155" s="36"/>
      <c r="S155" s="36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</row>
    <row r="156" spans="1:111" s="2" customFormat="1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6"/>
      <c r="L156" s="36"/>
      <c r="M156" s="36"/>
      <c r="N156" s="36"/>
      <c r="O156" s="36"/>
      <c r="P156" s="36"/>
      <c r="Q156" s="36"/>
      <c r="R156" s="36"/>
      <c r="S156" s="36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</row>
    <row r="157" spans="1:111" s="2" customFormat="1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6"/>
      <c r="L157" s="36"/>
      <c r="M157" s="36"/>
      <c r="N157" s="36"/>
      <c r="O157" s="36"/>
      <c r="P157" s="36"/>
      <c r="Q157" s="36"/>
      <c r="R157" s="36"/>
      <c r="S157" s="36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</row>
    <row r="158" spans="1:111" s="2" customFormat="1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6"/>
      <c r="L158" s="36"/>
      <c r="M158" s="36"/>
      <c r="N158" s="36"/>
      <c r="O158" s="36"/>
      <c r="P158" s="36"/>
      <c r="Q158" s="36"/>
      <c r="R158" s="36"/>
      <c r="S158" s="36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</row>
    <row r="159" spans="1:111" s="2" customFormat="1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6"/>
      <c r="L159" s="36"/>
      <c r="M159" s="36"/>
      <c r="N159" s="36"/>
      <c r="O159" s="36"/>
      <c r="P159" s="36"/>
      <c r="Q159" s="36"/>
      <c r="R159" s="36"/>
      <c r="S159" s="36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</row>
    <row r="160" spans="1:111" s="2" customFormat="1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6"/>
      <c r="L160" s="36"/>
      <c r="M160" s="36"/>
      <c r="N160" s="36"/>
      <c r="O160" s="36"/>
      <c r="P160" s="36"/>
      <c r="Q160" s="36"/>
      <c r="R160" s="36"/>
      <c r="S160" s="36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</row>
    <row r="161" spans="1:111" s="2" customFormat="1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6"/>
      <c r="L161" s="36"/>
      <c r="M161" s="36"/>
      <c r="N161" s="36"/>
      <c r="O161" s="36"/>
      <c r="P161" s="36"/>
      <c r="Q161" s="36"/>
      <c r="R161" s="36"/>
      <c r="S161" s="36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</row>
    <row r="162" spans="1:111" s="2" customFormat="1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6"/>
      <c r="L162" s="36"/>
      <c r="M162" s="36"/>
      <c r="N162" s="36"/>
      <c r="O162" s="36"/>
      <c r="P162" s="36"/>
      <c r="Q162" s="36"/>
      <c r="R162" s="36"/>
      <c r="S162" s="36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</row>
    <row r="163" spans="1:111" s="2" customForma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6"/>
      <c r="L163" s="36"/>
      <c r="M163" s="36"/>
      <c r="N163" s="36"/>
      <c r="O163" s="36"/>
      <c r="P163" s="36"/>
      <c r="Q163" s="36"/>
      <c r="R163" s="36"/>
      <c r="S163" s="36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</row>
    <row r="164" spans="1:111" s="2" customForma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6"/>
      <c r="L164" s="36"/>
      <c r="M164" s="36"/>
      <c r="N164" s="36"/>
      <c r="O164" s="36"/>
      <c r="P164" s="36"/>
      <c r="Q164" s="36"/>
      <c r="R164" s="36"/>
      <c r="S164" s="36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</row>
    <row r="165" spans="1:111" s="2" customForma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6"/>
      <c r="L165" s="36"/>
      <c r="M165" s="36"/>
      <c r="N165" s="36"/>
      <c r="O165" s="36"/>
      <c r="P165" s="36"/>
      <c r="Q165" s="36"/>
      <c r="R165" s="36"/>
      <c r="S165" s="36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</row>
    <row r="166" spans="1:111" s="2" customForma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6"/>
      <c r="L166" s="36"/>
      <c r="M166" s="36"/>
      <c r="N166" s="36"/>
      <c r="O166" s="36"/>
      <c r="P166" s="36"/>
      <c r="Q166" s="36"/>
      <c r="R166" s="36"/>
      <c r="S166" s="36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</row>
    <row r="167" spans="1:111" s="2" customForma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6"/>
      <c r="L167" s="36"/>
      <c r="M167" s="36"/>
      <c r="N167" s="36"/>
      <c r="O167" s="36"/>
      <c r="P167" s="36"/>
      <c r="Q167" s="36"/>
      <c r="R167" s="36"/>
      <c r="S167" s="36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</row>
    <row r="168" spans="1:111" s="2" customForma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6"/>
      <c r="L168" s="36"/>
      <c r="M168" s="36"/>
      <c r="N168" s="36"/>
      <c r="O168" s="36"/>
      <c r="P168" s="36"/>
      <c r="Q168" s="36"/>
      <c r="R168" s="36"/>
      <c r="S168" s="36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</row>
    <row r="169" spans="1:111" s="2" customForma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6"/>
      <c r="L169" s="36"/>
      <c r="M169" s="36"/>
      <c r="N169" s="36"/>
      <c r="O169" s="36"/>
      <c r="P169" s="36"/>
      <c r="Q169" s="36"/>
      <c r="R169" s="36"/>
      <c r="S169" s="36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</row>
    <row r="170" spans="1:111" s="2" customForma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6"/>
      <c r="L170" s="36"/>
      <c r="M170" s="36"/>
      <c r="N170" s="36"/>
      <c r="O170" s="36"/>
      <c r="P170" s="36"/>
      <c r="Q170" s="36"/>
      <c r="R170" s="36"/>
      <c r="S170" s="36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</row>
    <row r="171" spans="1:111" s="2" customForma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6"/>
      <c r="L171" s="36"/>
      <c r="M171" s="36"/>
      <c r="N171" s="36"/>
      <c r="O171" s="36"/>
      <c r="P171" s="36"/>
      <c r="Q171" s="36"/>
      <c r="R171" s="36"/>
      <c r="S171" s="36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</row>
    <row r="172" spans="1:111" s="2" customForma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6"/>
      <c r="L172" s="36"/>
      <c r="M172" s="36"/>
      <c r="N172" s="36"/>
      <c r="O172" s="36"/>
      <c r="P172" s="36"/>
      <c r="Q172" s="36"/>
      <c r="R172" s="36"/>
      <c r="S172" s="36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</row>
    <row r="173" spans="1:111" s="2" customFormat="1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6"/>
      <c r="L173" s="36"/>
      <c r="M173" s="36"/>
      <c r="N173" s="36"/>
      <c r="O173" s="36"/>
      <c r="P173" s="36"/>
      <c r="Q173" s="36"/>
      <c r="R173" s="36"/>
      <c r="S173" s="36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</row>
    <row r="174" spans="1:111" s="2" customForma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6"/>
      <c r="L174" s="36"/>
      <c r="M174" s="36"/>
      <c r="N174" s="36"/>
      <c r="O174" s="36"/>
      <c r="P174" s="36"/>
      <c r="Q174" s="36"/>
      <c r="R174" s="36"/>
      <c r="S174" s="36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</row>
    <row r="175" spans="1:111" s="2" customForma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6"/>
      <c r="L175" s="36"/>
      <c r="M175" s="36"/>
      <c r="N175" s="36"/>
      <c r="O175" s="36"/>
      <c r="P175" s="36"/>
      <c r="Q175" s="36"/>
      <c r="R175" s="36"/>
      <c r="S175" s="36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</row>
    <row r="176" spans="1:111" s="2" customFormat="1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6"/>
      <c r="L176" s="36"/>
      <c r="M176" s="36"/>
      <c r="N176" s="36"/>
      <c r="O176" s="36"/>
      <c r="P176" s="36"/>
      <c r="Q176" s="36"/>
      <c r="R176" s="36"/>
      <c r="S176" s="36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</row>
    <row r="177" spans="1:111" s="2" customForma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6"/>
      <c r="L177" s="36"/>
      <c r="M177" s="36"/>
      <c r="N177" s="36"/>
      <c r="O177" s="36"/>
      <c r="P177" s="36"/>
      <c r="Q177" s="36"/>
      <c r="R177" s="36"/>
      <c r="S177" s="36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</row>
    <row r="178" spans="1:111" s="2" customFormat="1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6"/>
      <c r="L178" s="36"/>
      <c r="M178" s="36"/>
      <c r="N178" s="36"/>
      <c r="O178" s="36"/>
      <c r="P178" s="36"/>
      <c r="Q178" s="36"/>
      <c r="R178" s="36"/>
      <c r="S178" s="36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</row>
    <row r="179" spans="1:111" s="2" customForma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6"/>
      <c r="L179" s="36"/>
      <c r="M179" s="36"/>
      <c r="N179" s="36"/>
      <c r="O179" s="36"/>
      <c r="P179" s="36"/>
      <c r="Q179" s="36"/>
      <c r="R179" s="36"/>
      <c r="S179" s="36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</row>
    <row r="180" spans="1:111" s="2" customForma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6"/>
      <c r="L180" s="36"/>
      <c r="M180" s="36"/>
      <c r="N180" s="36"/>
      <c r="O180" s="36"/>
      <c r="P180" s="36"/>
      <c r="Q180" s="36"/>
      <c r="R180" s="36"/>
      <c r="S180" s="36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</row>
    <row r="181" spans="1:111" s="2" customForma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6"/>
      <c r="L181" s="36"/>
      <c r="M181" s="36"/>
      <c r="N181" s="36"/>
      <c r="O181" s="36"/>
      <c r="P181" s="36"/>
      <c r="Q181" s="36"/>
      <c r="R181" s="36"/>
      <c r="S181" s="36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</row>
    <row r="182" spans="1:111" s="2" customForma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6"/>
      <c r="L182" s="36"/>
      <c r="M182" s="36"/>
      <c r="N182" s="36"/>
      <c r="O182" s="36"/>
      <c r="P182" s="36"/>
      <c r="Q182" s="36"/>
      <c r="R182" s="36"/>
      <c r="S182" s="36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</row>
    <row r="183" spans="1:111" s="2" customForma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6"/>
      <c r="L183" s="36"/>
      <c r="M183" s="36"/>
      <c r="N183" s="36"/>
      <c r="O183" s="36"/>
      <c r="P183" s="36"/>
      <c r="Q183" s="36"/>
      <c r="R183" s="36"/>
      <c r="S183" s="36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</row>
    <row r="184" spans="1:111" s="2" customFormat="1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6"/>
      <c r="L184" s="36"/>
      <c r="M184" s="36"/>
      <c r="N184" s="36"/>
      <c r="O184" s="36"/>
      <c r="P184" s="36"/>
      <c r="Q184" s="36"/>
      <c r="R184" s="36"/>
      <c r="S184" s="36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</row>
    <row r="185" spans="1:111" s="2" customForma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6"/>
      <c r="L185" s="36"/>
      <c r="M185" s="36"/>
      <c r="N185" s="36"/>
      <c r="O185" s="36"/>
      <c r="P185" s="36"/>
      <c r="Q185" s="36"/>
      <c r="R185" s="36"/>
      <c r="S185" s="36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</row>
    <row r="186" spans="1:111" s="2" customForma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6"/>
      <c r="L186" s="36"/>
      <c r="M186" s="36"/>
      <c r="N186" s="36"/>
      <c r="O186" s="36"/>
      <c r="P186" s="36"/>
      <c r="Q186" s="36"/>
      <c r="R186" s="36"/>
      <c r="S186" s="36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</row>
    <row r="187" spans="1:111" s="2" customForma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6"/>
      <c r="L187" s="36"/>
      <c r="M187" s="36"/>
      <c r="N187" s="36"/>
      <c r="O187" s="36"/>
      <c r="P187" s="36"/>
      <c r="Q187" s="36"/>
      <c r="R187" s="36"/>
      <c r="S187" s="36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</row>
    <row r="188" spans="1:111" s="2" customForma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6"/>
      <c r="L188" s="36"/>
      <c r="M188" s="36"/>
      <c r="N188" s="36"/>
      <c r="O188" s="36"/>
      <c r="P188" s="36"/>
      <c r="Q188" s="36"/>
      <c r="R188" s="36"/>
      <c r="S188" s="36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</row>
    <row r="189" spans="1:111" s="2" customForma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6"/>
      <c r="L189" s="36"/>
      <c r="M189" s="36"/>
      <c r="N189" s="36"/>
      <c r="O189" s="36"/>
      <c r="P189" s="36"/>
      <c r="Q189" s="36"/>
      <c r="R189" s="36"/>
      <c r="S189" s="36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</row>
    <row r="190" spans="1:111" s="2" customFormat="1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6"/>
      <c r="L190" s="36"/>
      <c r="M190" s="36"/>
      <c r="N190" s="36"/>
      <c r="O190" s="36"/>
      <c r="P190" s="36"/>
      <c r="Q190" s="36"/>
      <c r="R190" s="36"/>
      <c r="S190" s="36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</row>
    <row r="191" spans="1:111" s="2" customForma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6"/>
      <c r="L191" s="36"/>
      <c r="M191" s="36"/>
      <c r="N191" s="36"/>
      <c r="O191" s="36"/>
      <c r="P191" s="36"/>
      <c r="Q191" s="36"/>
      <c r="R191" s="36"/>
      <c r="S191" s="36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</row>
    <row r="192" spans="1:111" s="2" customForma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6"/>
      <c r="L192" s="36"/>
      <c r="M192" s="36"/>
      <c r="N192" s="36"/>
      <c r="O192" s="36"/>
      <c r="P192" s="36"/>
      <c r="Q192" s="36"/>
      <c r="R192" s="36"/>
      <c r="S192" s="36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</row>
    <row r="193" spans="1:111" s="2" customForma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6"/>
      <c r="L193" s="36"/>
      <c r="M193" s="36"/>
      <c r="N193" s="36"/>
      <c r="O193" s="36"/>
      <c r="P193" s="36"/>
      <c r="Q193" s="36"/>
      <c r="R193" s="36"/>
      <c r="S193" s="36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</row>
    <row r="194" spans="1:111" s="2" customFormat="1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6"/>
      <c r="L194" s="36"/>
      <c r="M194" s="36"/>
      <c r="N194" s="36"/>
      <c r="O194" s="36"/>
      <c r="P194" s="36"/>
      <c r="Q194" s="36"/>
      <c r="R194" s="36"/>
      <c r="S194" s="36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</row>
    <row r="195" spans="1:111" s="2" customForma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6"/>
      <c r="L195" s="36"/>
      <c r="M195" s="36"/>
      <c r="N195" s="36"/>
      <c r="O195" s="36"/>
      <c r="P195" s="36"/>
      <c r="Q195" s="36"/>
      <c r="R195" s="36"/>
      <c r="S195" s="36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</row>
    <row r="196" spans="1:111" s="2" customFormat="1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6"/>
      <c r="L196" s="36"/>
      <c r="M196" s="36"/>
      <c r="N196" s="36"/>
      <c r="O196" s="36"/>
      <c r="P196" s="36"/>
      <c r="Q196" s="36"/>
      <c r="R196" s="36"/>
      <c r="S196" s="36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</row>
    <row r="197" spans="1:111" s="2" customForma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6"/>
      <c r="L197" s="36"/>
      <c r="M197" s="36"/>
      <c r="N197" s="36"/>
      <c r="O197" s="36"/>
      <c r="P197" s="36"/>
      <c r="Q197" s="36"/>
      <c r="R197" s="36"/>
      <c r="S197" s="36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</row>
    <row r="198" spans="1:111" s="2" customForma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6"/>
      <c r="L198" s="36"/>
      <c r="M198" s="36"/>
      <c r="N198" s="36"/>
      <c r="O198" s="36"/>
      <c r="P198" s="36"/>
      <c r="Q198" s="36"/>
      <c r="R198" s="36"/>
      <c r="S198" s="36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</row>
    <row r="199" spans="1:111" s="2" customForma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6"/>
      <c r="L199" s="36"/>
      <c r="M199" s="36"/>
      <c r="N199" s="36"/>
      <c r="O199" s="36"/>
      <c r="P199" s="36"/>
      <c r="Q199" s="36"/>
      <c r="R199" s="36"/>
      <c r="S199" s="36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</row>
    <row r="200" spans="1:111" s="2" customForma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6"/>
      <c r="L200" s="36"/>
      <c r="M200" s="36"/>
      <c r="N200" s="36"/>
      <c r="O200" s="36"/>
      <c r="P200" s="36"/>
      <c r="Q200" s="36"/>
      <c r="R200" s="36"/>
      <c r="S200" s="36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</row>
    <row r="201" spans="1:111" s="2" customForma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6"/>
      <c r="L201" s="36"/>
      <c r="M201" s="36"/>
      <c r="N201" s="36"/>
      <c r="O201" s="36"/>
      <c r="P201" s="36"/>
      <c r="Q201" s="36"/>
      <c r="R201" s="36"/>
      <c r="S201" s="36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</row>
    <row r="202" spans="1:111" s="2" customFormat="1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6"/>
      <c r="L202" s="36"/>
      <c r="M202" s="36"/>
      <c r="N202" s="36"/>
      <c r="O202" s="36"/>
      <c r="P202" s="36"/>
      <c r="Q202" s="36"/>
      <c r="R202" s="36"/>
      <c r="S202" s="36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</row>
    <row r="203" spans="1:111" s="2" customFormat="1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6"/>
      <c r="L203" s="36"/>
      <c r="M203" s="36"/>
      <c r="N203" s="36"/>
      <c r="O203" s="36"/>
      <c r="P203" s="36"/>
      <c r="Q203" s="36"/>
      <c r="R203" s="36"/>
      <c r="S203" s="36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</row>
    <row r="204" spans="1:111" s="2" customFormat="1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6"/>
      <c r="L204" s="36"/>
      <c r="M204" s="36"/>
      <c r="N204" s="36"/>
      <c r="O204" s="36"/>
      <c r="P204" s="36"/>
      <c r="Q204" s="36"/>
      <c r="R204" s="36"/>
      <c r="S204" s="36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</row>
    <row r="205" spans="1:111" s="2" customFormat="1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6"/>
      <c r="L205" s="36"/>
      <c r="M205" s="36"/>
      <c r="N205" s="36"/>
      <c r="O205" s="36"/>
      <c r="P205" s="36"/>
      <c r="Q205" s="36"/>
      <c r="R205" s="36"/>
      <c r="S205" s="36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</row>
    <row r="206" spans="1:111" s="2" customFormat="1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6"/>
      <c r="L206" s="36"/>
      <c r="M206" s="36"/>
      <c r="N206" s="36"/>
      <c r="O206" s="36"/>
      <c r="P206" s="36"/>
      <c r="Q206" s="36"/>
      <c r="R206" s="36"/>
      <c r="S206" s="36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</row>
    <row r="207" spans="1:111" s="2" customFormat="1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6"/>
      <c r="L207" s="36"/>
      <c r="M207" s="36"/>
      <c r="N207" s="36"/>
      <c r="O207" s="36"/>
      <c r="P207" s="36"/>
      <c r="Q207" s="36"/>
      <c r="R207" s="36"/>
      <c r="S207" s="36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</row>
    <row r="208" spans="1:111" s="2" customFormat="1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6"/>
      <c r="L208" s="36"/>
      <c r="M208" s="36"/>
      <c r="N208" s="36"/>
      <c r="O208" s="36"/>
      <c r="P208" s="36"/>
      <c r="Q208" s="36"/>
      <c r="R208" s="36"/>
      <c r="S208" s="36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</row>
    <row r="209" spans="1:111" s="2" customFormat="1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6"/>
      <c r="L209" s="36"/>
      <c r="M209" s="36"/>
      <c r="N209" s="36"/>
      <c r="O209" s="36"/>
      <c r="P209" s="36"/>
      <c r="Q209" s="36"/>
      <c r="R209" s="36"/>
      <c r="S209" s="36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</row>
    <row r="210" spans="1:111" s="2" customFormat="1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6"/>
      <c r="L210" s="36"/>
      <c r="M210" s="36"/>
      <c r="N210" s="36"/>
      <c r="O210" s="36"/>
      <c r="P210" s="36"/>
      <c r="Q210" s="36"/>
      <c r="R210" s="36"/>
      <c r="S210" s="36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</row>
    <row r="211" spans="1:111" s="2" customFormat="1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6"/>
      <c r="L211" s="36"/>
      <c r="M211" s="36"/>
      <c r="N211" s="36"/>
      <c r="O211" s="36"/>
      <c r="P211" s="36"/>
      <c r="Q211" s="36"/>
      <c r="R211" s="36"/>
      <c r="S211" s="36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</row>
    <row r="212" spans="1:111" s="2" customFormat="1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6"/>
      <c r="L212" s="36"/>
      <c r="M212" s="36"/>
      <c r="N212" s="36"/>
      <c r="O212" s="36"/>
      <c r="P212" s="36"/>
      <c r="Q212" s="36"/>
      <c r="R212" s="36"/>
      <c r="S212" s="36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</row>
    <row r="213" spans="1:111" s="2" customFormat="1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6"/>
      <c r="L213" s="36"/>
      <c r="M213" s="36"/>
      <c r="N213" s="36"/>
      <c r="O213" s="36"/>
      <c r="P213" s="36"/>
      <c r="Q213" s="36"/>
      <c r="R213" s="36"/>
      <c r="S213" s="36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</row>
    <row r="214" spans="1:111" s="2" customFormat="1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6"/>
      <c r="L214" s="36"/>
      <c r="M214" s="36"/>
      <c r="N214" s="36"/>
      <c r="O214" s="36"/>
      <c r="P214" s="36"/>
      <c r="Q214" s="36"/>
      <c r="R214" s="36"/>
      <c r="S214" s="36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</row>
    <row r="215" spans="1:111" s="2" customFormat="1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6"/>
      <c r="L215" s="36"/>
      <c r="M215" s="36"/>
      <c r="N215" s="36"/>
      <c r="O215" s="36"/>
      <c r="P215" s="36"/>
      <c r="Q215" s="36"/>
      <c r="R215" s="36"/>
      <c r="S215" s="36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</row>
    <row r="216" spans="1:111" s="2" customFormat="1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6"/>
      <c r="L216" s="36"/>
      <c r="M216" s="36"/>
      <c r="N216" s="36"/>
      <c r="O216" s="36"/>
      <c r="P216" s="36"/>
      <c r="Q216" s="36"/>
      <c r="R216" s="36"/>
      <c r="S216" s="36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</row>
    <row r="217" spans="1:111" s="2" customFormat="1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6"/>
      <c r="L217" s="36"/>
      <c r="M217" s="36"/>
      <c r="N217" s="36"/>
      <c r="O217" s="36"/>
      <c r="P217" s="36"/>
      <c r="Q217" s="36"/>
      <c r="R217" s="36"/>
      <c r="S217" s="36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</row>
    <row r="218" spans="1:111" s="2" customFormat="1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6"/>
      <c r="L218" s="36"/>
      <c r="M218" s="36"/>
      <c r="N218" s="36"/>
      <c r="O218" s="36"/>
      <c r="P218" s="36"/>
      <c r="Q218" s="36"/>
      <c r="R218" s="36"/>
      <c r="S218" s="36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</row>
    <row r="219" spans="1:111" s="2" customFormat="1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6"/>
      <c r="L219" s="36"/>
      <c r="M219" s="36"/>
      <c r="N219" s="36"/>
      <c r="O219" s="36"/>
      <c r="P219" s="36"/>
      <c r="Q219" s="36"/>
      <c r="R219" s="36"/>
      <c r="S219" s="36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</row>
    <row r="220" spans="1:111" s="2" customFormat="1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6"/>
      <c r="L220" s="36"/>
      <c r="M220" s="36"/>
      <c r="N220" s="36"/>
      <c r="O220" s="36"/>
      <c r="P220" s="36"/>
      <c r="Q220" s="36"/>
      <c r="R220" s="36"/>
      <c r="S220" s="36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</row>
    <row r="221" spans="1:111" s="2" customForma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6"/>
      <c r="L221" s="36"/>
      <c r="M221" s="36"/>
      <c r="N221" s="36"/>
      <c r="O221" s="36"/>
      <c r="P221" s="36"/>
      <c r="Q221" s="36"/>
      <c r="R221" s="36"/>
      <c r="S221" s="36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</row>
    <row r="222" spans="1:111" s="2" customFormat="1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6"/>
      <c r="L222" s="36"/>
      <c r="M222" s="36"/>
      <c r="N222" s="36"/>
      <c r="O222" s="36"/>
      <c r="P222" s="36"/>
      <c r="Q222" s="36"/>
      <c r="R222" s="36"/>
      <c r="S222" s="36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</row>
    <row r="223" spans="1:111" s="2" customFormat="1" x14ac:dyDescent="0.2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6"/>
      <c r="L223" s="36"/>
      <c r="M223" s="36"/>
      <c r="N223" s="36"/>
      <c r="O223" s="36"/>
      <c r="P223" s="36"/>
      <c r="Q223" s="36"/>
      <c r="R223" s="36"/>
      <c r="S223" s="36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</row>
    <row r="224" spans="1:111" s="2" customFormat="1" x14ac:dyDescent="0.2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6"/>
      <c r="L224" s="36"/>
      <c r="M224" s="36"/>
      <c r="N224" s="36"/>
      <c r="O224" s="36"/>
      <c r="P224" s="36"/>
      <c r="Q224" s="36"/>
      <c r="R224" s="36"/>
      <c r="S224" s="36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</row>
    <row r="225" spans="1:111" s="2" customFormat="1" x14ac:dyDescent="0.2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6"/>
      <c r="L225" s="36"/>
      <c r="M225" s="36"/>
      <c r="N225" s="36"/>
      <c r="O225" s="36"/>
      <c r="P225" s="36"/>
      <c r="Q225" s="36"/>
      <c r="R225" s="36"/>
      <c r="S225" s="36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</row>
    <row r="226" spans="1:111" s="2" customFormat="1" x14ac:dyDescent="0.2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6"/>
      <c r="L226" s="36"/>
      <c r="M226" s="36"/>
      <c r="N226" s="36"/>
      <c r="O226" s="36"/>
      <c r="P226" s="36"/>
      <c r="Q226" s="36"/>
      <c r="R226" s="36"/>
      <c r="S226" s="36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</row>
    <row r="227" spans="1:111" s="2" customFormat="1" x14ac:dyDescent="0.2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6"/>
      <c r="L227" s="36"/>
      <c r="M227" s="36"/>
      <c r="N227" s="36"/>
      <c r="O227" s="36"/>
      <c r="P227" s="36"/>
      <c r="Q227" s="36"/>
      <c r="R227" s="36"/>
      <c r="S227" s="36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</row>
    <row r="228" spans="1:111" s="2" customFormat="1" x14ac:dyDescent="0.2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6"/>
      <c r="L228" s="36"/>
      <c r="M228" s="36"/>
      <c r="N228" s="36"/>
      <c r="O228" s="36"/>
      <c r="P228" s="36"/>
      <c r="Q228" s="36"/>
      <c r="R228" s="36"/>
      <c r="S228" s="36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</row>
    <row r="229" spans="1:111" s="2" customFormat="1" x14ac:dyDescent="0.2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6"/>
      <c r="L229" s="36"/>
      <c r="M229" s="36"/>
      <c r="N229" s="36"/>
      <c r="O229" s="36"/>
      <c r="P229" s="36"/>
      <c r="Q229" s="36"/>
      <c r="R229" s="36"/>
      <c r="S229" s="36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</row>
    <row r="230" spans="1:111" s="2" customFormat="1" x14ac:dyDescent="0.2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6"/>
      <c r="L230" s="36"/>
      <c r="M230" s="36"/>
      <c r="N230" s="36"/>
      <c r="O230" s="36"/>
      <c r="P230" s="36"/>
      <c r="Q230" s="36"/>
      <c r="R230" s="36"/>
      <c r="S230" s="36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</row>
    <row r="231" spans="1:111" s="2" customFormat="1" x14ac:dyDescent="0.2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6"/>
      <c r="L231" s="36"/>
      <c r="M231" s="36"/>
      <c r="N231" s="36"/>
      <c r="O231" s="36"/>
      <c r="P231" s="36"/>
      <c r="Q231" s="36"/>
      <c r="R231" s="36"/>
      <c r="S231" s="36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</row>
    <row r="232" spans="1:111" s="2" customFormat="1" x14ac:dyDescent="0.2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6"/>
      <c r="L232" s="36"/>
      <c r="M232" s="36"/>
      <c r="N232" s="36"/>
      <c r="O232" s="36"/>
      <c r="P232" s="36"/>
      <c r="Q232" s="36"/>
      <c r="R232" s="36"/>
      <c r="S232" s="36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</row>
    <row r="233" spans="1:111" s="2" customFormat="1" x14ac:dyDescent="0.2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6"/>
      <c r="L233" s="36"/>
      <c r="M233" s="36"/>
      <c r="N233" s="36"/>
      <c r="O233" s="36"/>
      <c r="P233" s="36"/>
      <c r="Q233" s="36"/>
      <c r="R233" s="36"/>
      <c r="S233" s="36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</row>
    <row r="234" spans="1:111" s="2" customFormat="1" x14ac:dyDescent="0.2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6"/>
      <c r="L234" s="36"/>
      <c r="M234" s="36"/>
      <c r="N234" s="36"/>
      <c r="O234" s="36"/>
      <c r="P234" s="36"/>
      <c r="Q234" s="36"/>
      <c r="R234" s="36"/>
      <c r="S234" s="36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</row>
    <row r="235" spans="1:111" s="2" customFormat="1" x14ac:dyDescent="0.2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6"/>
      <c r="L235" s="36"/>
      <c r="M235" s="36"/>
      <c r="N235" s="36"/>
      <c r="O235" s="36"/>
      <c r="P235" s="36"/>
      <c r="Q235" s="36"/>
      <c r="R235" s="36"/>
      <c r="S235" s="36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</row>
    <row r="236" spans="1:111" s="2" customFormat="1" x14ac:dyDescent="0.2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6"/>
      <c r="L236" s="36"/>
      <c r="M236" s="36"/>
      <c r="N236" s="36"/>
      <c r="O236" s="36"/>
      <c r="P236" s="36"/>
      <c r="Q236" s="36"/>
      <c r="R236" s="36"/>
      <c r="S236" s="36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</row>
    <row r="237" spans="1:111" s="2" customFormat="1" x14ac:dyDescent="0.2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6"/>
      <c r="L237" s="36"/>
      <c r="M237" s="36"/>
      <c r="N237" s="36"/>
      <c r="O237" s="36"/>
      <c r="P237" s="36"/>
      <c r="Q237" s="36"/>
      <c r="R237" s="36"/>
      <c r="S237" s="36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</row>
    <row r="238" spans="1:111" s="2" customFormat="1" x14ac:dyDescent="0.2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6"/>
      <c r="L238" s="36"/>
      <c r="M238" s="36"/>
      <c r="N238" s="36"/>
      <c r="O238" s="36"/>
      <c r="P238" s="36"/>
      <c r="Q238" s="36"/>
      <c r="R238" s="36"/>
      <c r="S238" s="36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</row>
    <row r="239" spans="1:111" s="2" customFormat="1" x14ac:dyDescent="0.2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6"/>
      <c r="L239" s="36"/>
      <c r="M239" s="36"/>
      <c r="N239" s="36"/>
      <c r="O239" s="36"/>
      <c r="P239" s="36"/>
      <c r="Q239" s="36"/>
      <c r="R239" s="36"/>
      <c r="S239" s="36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</row>
    <row r="240" spans="1:111" s="2" customFormat="1" x14ac:dyDescent="0.2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6"/>
      <c r="L240" s="36"/>
      <c r="M240" s="36"/>
      <c r="N240" s="36"/>
      <c r="O240" s="36"/>
      <c r="P240" s="36"/>
      <c r="Q240" s="36"/>
      <c r="R240" s="36"/>
      <c r="S240" s="36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</row>
    <row r="241" spans="1:111" s="2" customFormat="1" x14ac:dyDescent="0.2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6"/>
      <c r="L241" s="36"/>
      <c r="M241" s="36"/>
      <c r="N241" s="36"/>
      <c r="O241" s="36"/>
      <c r="P241" s="36"/>
      <c r="Q241" s="36"/>
      <c r="R241" s="36"/>
      <c r="S241" s="36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</row>
    <row r="242" spans="1:111" s="2" customFormat="1" x14ac:dyDescent="0.2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6"/>
      <c r="L242" s="36"/>
      <c r="M242" s="36"/>
      <c r="N242" s="36"/>
      <c r="O242" s="36"/>
      <c r="P242" s="36"/>
      <c r="Q242" s="36"/>
      <c r="R242" s="36"/>
      <c r="S242" s="36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</row>
    <row r="243" spans="1:111" s="2" customFormat="1" x14ac:dyDescent="0.2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6"/>
      <c r="L243" s="36"/>
      <c r="M243" s="36"/>
      <c r="N243" s="36"/>
      <c r="O243" s="36"/>
      <c r="P243" s="36"/>
      <c r="Q243" s="36"/>
      <c r="R243" s="36"/>
      <c r="S243" s="36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</row>
    <row r="244" spans="1:111" s="2" customFormat="1" x14ac:dyDescent="0.2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6"/>
      <c r="L244" s="36"/>
      <c r="M244" s="36"/>
      <c r="N244" s="36"/>
      <c r="O244" s="36"/>
      <c r="P244" s="36"/>
      <c r="Q244" s="36"/>
      <c r="R244" s="36"/>
      <c r="S244" s="36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</row>
    <row r="245" spans="1:111" s="2" customFormat="1" x14ac:dyDescent="0.2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6"/>
      <c r="L245" s="36"/>
      <c r="M245" s="36"/>
      <c r="N245" s="36"/>
      <c r="O245" s="36"/>
      <c r="P245" s="36"/>
      <c r="Q245" s="36"/>
      <c r="R245" s="36"/>
      <c r="S245" s="36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</row>
    <row r="246" spans="1:111" s="2" customFormat="1" x14ac:dyDescent="0.2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6"/>
      <c r="L246" s="36"/>
      <c r="M246" s="36"/>
      <c r="N246" s="36"/>
      <c r="O246" s="36"/>
      <c r="P246" s="36"/>
      <c r="Q246" s="36"/>
      <c r="R246" s="36"/>
      <c r="S246" s="36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</row>
    <row r="247" spans="1:111" s="2" customFormat="1" x14ac:dyDescent="0.2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6"/>
      <c r="L247" s="36"/>
      <c r="M247" s="36"/>
      <c r="N247" s="36"/>
      <c r="O247" s="36"/>
      <c r="P247" s="36"/>
      <c r="Q247" s="36"/>
      <c r="R247" s="36"/>
      <c r="S247" s="36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</row>
    <row r="248" spans="1:111" s="2" customFormat="1" x14ac:dyDescent="0.2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6"/>
      <c r="L248" s="36"/>
      <c r="M248" s="36"/>
      <c r="N248" s="36"/>
      <c r="O248" s="36"/>
      <c r="P248" s="36"/>
      <c r="Q248" s="36"/>
      <c r="R248" s="36"/>
      <c r="S248" s="36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</row>
    <row r="249" spans="1:111" s="2" customFormat="1" x14ac:dyDescent="0.2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6"/>
      <c r="L249" s="36"/>
      <c r="M249" s="36"/>
      <c r="N249" s="36"/>
      <c r="O249" s="36"/>
      <c r="P249" s="36"/>
      <c r="Q249" s="36"/>
      <c r="R249" s="36"/>
      <c r="S249" s="36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</row>
    <row r="250" spans="1:111" s="2" customFormat="1" x14ac:dyDescent="0.2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6"/>
      <c r="L250" s="36"/>
      <c r="M250" s="36"/>
      <c r="N250" s="36"/>
      <c r="O250" s="36"/>
      <c r="P250" s="36"/>
      <c r="Q250" s="36"/>
      <c r="R250" s="36"/>
      <c r="S250" s="36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</row>
    <row r="251" spans="1:111" s="2" customFormat="1" x14ac:dyDescent="0.2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6"/>
      <c r="L251" s="36"/>
      <c r="M251" s="36"/>
      <c r="N251" s="36"/>
      <c r="O251" s="36"/>
      <c r="P251" s="36"/>
      <c r="Q251" s="36"/>
      <c r="R251" s="36"/>
      <c r="S251" s="36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</row>
    <row r="252" spans="1:111" s="2" customFormat="1" x14ac:dyDescent="0.2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6"/>
      <c r="L252" s="36"/>
      <c r="M252" s="36"/>
      <c r="N252" s="36"/>
      <c r="O252" s="36"/>
      <c r="P252" s="36"/>
      <c r="Q252" s="36"/>
      <c r="R252" s="36"/>
      <c r="S252" s="36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</row>
    <row r="253" spans="1:111" s="2" customFormat="1" x14ac:dyDescent="0.2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6"/>
      <c r="L253" s="36"/>
      <c r="M253" s="36"/>
      <c r="N253" s="36"/>
      <c r="O253" s="36"/>
      <c r="P253" s="36"/>
      <c r="Q253" s="36"/>
      <c r="R253" s="36"/>
      <c r="S253" s="36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</row>
    <row r="254" spans="1:111" s="2" customFormat="1" x14ac:dyDescent="0.2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6"/>
      <c r="L254" s="36"/>
      <c r="M254" s="36"/>
      <c r="N254" s="36"/>
      <c r="O254" s="36"/>
      <c r="P254" s="36"/>
      <c r="Q254" s="36"/>
      <c r="R254" s="36"/>
      <c r="S254" s="36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</row>
    <row r="255" spans="1:111" s="2" customFormat="1" x14ac:dyDescent="0.2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6"/>
      <c r="L255" s="36"/>
      <c r="M255" s="36"/>
      <c r="N255" s="36"/>
      <c r="O255" s="36"/>
      <c r="P255" s="36"/>
      <c r="Q255" s="36"/>
      <c r="R255" s="36"/>
      <c r="S255" s="36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</row>
    <row r="256" spans="1:111" s="2" customFormat="1" x14ac:dyDescent="0.2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6"/>
      <c r="L256" s="36"/>
      <c r="M256" s="36"/>
      <c r="N256" s="36"/>
      <c r="O256" s="36"/>
      <c r="P256" s="36"/>
      <c r="Q256" s="36"/>
      <c r="R256" s="36"/>
      <c r="S256" s="36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</row>
    <row r="257" spans="1:111" s="2" customFormat="1" x14ac:dyDescent="0.2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6"/>
      <c r="L257" s="36"/>
      <c r="M257" s="36"/>
      <c r="N257" s="36"/>
      <c r="O257" s="36"/>
      <c r="P257" s="36"/>
      <c r="Q257" s="36"/>
      <c r="R257" s="36"/>
      <c r="S257" s="36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</row>
    <row r="258" spans="1:111" s="2" customFormat="1" x14ac:dyDescent="0.2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6"/>
      <c r="L258" s="36"/>
      <c r="M258" s="36"/>
      <c r="N258" s="36"/>
      <c r="O258" s="36"/>
      <c r="P258" s="36"/>
      <c r="Q258" s="36"/>
      <c r="R258" s="36"/>
      <c r="S258" s="36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</row>
    <row r="259" spans="1:111" s="2" customFormat="1" x14ac:dyDescent="0.2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6"/>
      <c r="L259" s="36"/>
      <c r="M259" s="36"/>
      <c r="N259" s="36"/>
      <c r="O259" s="36"/>
      <c r="P259" s="36"/>
      <c r="Q259" s="36"/>
      <c r="R259" s="36"/>
      <c r="S259" s="36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</row>
    <row r="260" spans="1:111" s="2" customFormat="1" x14ac:dyDescent="0.2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6"/>
      <c r="L260" s="36"/>
      <c r="M260" s="36"/>
      <c r="N260" s="36"/>
      <c r="O260" s="36"/>
      <c r="P260" s="36"/>
      <c r="Q260" s="36"/>
      <c r="R260" s="36"/>
      <c r="S260" s="36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</row>
    <row r="261" spans="1:111" s="2" customFormat="1" x14ac:dyDescent="0.2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6"/>
      <c r="L261" s="36"/>
      <c r="M261" s="36"/>
      <c r="N261" s="36"/>
      <c r="O261" s="36"/>
      <c r="P261" s="36"/>
      <c r="Q261" s="36"/>
      <c r="R261" s="36"/>
      <c r="S261" s="36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</row>
    <row r="262" spans="1:111" s="2" customFormat="1" x14ac:dyDescent="0.2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</row>
    <row r="263" spans="1:111" s="2" customFormat="1" x14ac:dyDescent="0.2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</row>
    <row r="264" spans="1:111" s="2" customFormat="1" x14ac:dyDescent="0.2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38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</row>
    <row r="265" spans="1:111" s="2" customFormat="1" x14ac:dyDescent="0.2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38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</row>
    <row r="266" spans="1:111" s="2" customFormat="1" x14ac:dyDescent="0.2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38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</row>
    <row r="267" spans="1:111" s="2" customFormat="1" x14ac:dyDescent="0.2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38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</row>
    <row r="268" spans="1:111" s="2" customFormat="1" x14ac:dyDescent="0.2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38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</row>
    <row r="269" spans="1:111" s="2" customFormat="1" x14ac:dyDescent="0.2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38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</row>
    <row r="270" spans="1:111" s="2" customFormat="1" x14ac:dyDescent="0.2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38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</row>
    <row r="271" spans="1:111" s="2" customFormat="1" x14ac:dyDescent="0.2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38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</row>
    <row r="272" spans="1:111" s="2" customFormat="1" x14ac:dyDescent="0.2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38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</row>
    <row r="273" spans="1:111" s="2" customFormat="1" x14ac:dyDescent="0.2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38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</row>
    <row r="274" spans="1:111" s="2" customFormat="1" x14ac:dyDescent="0.2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38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</row>
    <row r="275" spans="1:111" s="2" customFormat="1" x14ac:dyDescent="0.2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38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</row>
    <row r="276" spans="1:111" s="2" customFormat="1" x14ac:dyDescent="0.2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38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</row>
    <row r="277" spans="1:111" s="2" customFormat="1" x14ac:dyDescent="0.2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38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</row>
    <row r="278" spans="1:111" s="2" customFormat="1" x14ac:dyDescent="0.2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38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</row>
    <row r="279" spans="1:111" s="2" customFormat="1" x14ac:dyDescent="0.2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38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</row>
    <row r="280" spans="1:111" s="2" customFormat="1" x14ac:dyDescent="0.2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38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</row>
    <row r="281" spans="1:111" s="2" customFormat="1" x14ac:dyDescent="0.2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38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</row>
    <row r="282" spans="1:111" s="2" customFormat="1" x14ac:dyDescent="0.2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38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</row>
    <row r="283" spans="1:111" s="2" customFormat="1" x14ac:dyDescent="0.2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38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</row>
    <row r="284" spans="1:111" s="2" customFormat="1" x14ac:dyDescent="0.2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38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</row>
    <row r="285" spans="1:111" s="2" customFormat="1" x14ac:dyDescent="0.2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38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</row>
    <row r="286" spans="1:111" s="2" customFormat="1" x14ac:dyDescent="0.2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38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</row>
    <row r="287" spans="1:111" s="2" customFormat="1" x14ac:dyDescent="0.2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38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</row>
    <row r="288" spans="1:111" s="2" customFormat="1" x14ac:dyDescent="0.2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38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</row>
    <row r="289" spans="1:111" s="2" customFormat="1" x14ac:dyDescent="0.2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38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</row>
    <row r="290" spans="1:111" s="2" customFormat="1" x14ac:dyDescent="0.2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38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</row>
    <row r="291" spans="1:111" s="2" customFormat="1" x14ac:dyDescent="0.2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38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</row>
    <row r="292" spans="1:111" s="2" customFormat="1" x14ac:dyDescent="0.2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38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</row>
    <row r="293" spans="1:111" s="2" customFormat="1" x14ac:dyDescent="0.2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38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</row>
    <row r="294" spans="1:111" s="2" customFormat="1" x14ac:dyDescent="0.2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38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</row>
    <row r="295" spans="1:111" s="2" customFormat="1" x14ac:dyDescent="0.2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38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</row>
    <row r="296" spans="1:111" s="2" customFormat="1" x14ac:dyDescent="0.2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38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</row>
    <row r="297" spans="1:111" s="2" customFormat="1" x14ac:dyDescent="0.2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38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</row>
    <row r="298" spans="1:111" s="2" customFormat="1" x14ac:dyDescent="0.2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38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</row>
    <row r="299" spans="1:111" s="2" customFormat="1" x14ac:dyDescent="0.2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38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</row>
    <row r="300" spans="1:111" s="2" customFormat="1" x14ac:dyDescent="0.2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38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</row>
    <row r="301" spans="1:111" s="2" customFormat="1" x14ac:dyDescent="0.2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38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</row>
    <row r="302" spans="1:111" s="2" customFormat="1" x14ac:dyDescent="0.2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38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</row>
    <row r="303" spans="1:111" s="2" customFormat="1" x14ac:dyDescent="0.2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38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</row>
    <row r="304" spans="1:111" s="2" customFormat="1" x14ac:dyDescent="0.2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38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</row>
    <row r="305" spans="1:111" s="2" customFormat="1" x14ac:dyDescent="0.2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38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</row>
    <row r="306" spans="1:111" s="2" customFormat="1" x14ac:dyDescent="0.2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38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</row>
    <row r="307" spans="1:111" s="2" customFormat="1" x14ac:dyDescent="0.2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38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</row>
    <row r="308" spans="1:111" s="2" customFormat="1" x14ac:dyDescent="0.2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38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</row>
    <row r="309" spans="1:111" s="2" customFormat="1" x14ac:dyDescent="0.2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38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</row>
    <row r="310" spans="1:111" s="2" customFormat="1" x14ac:dyDescent="0.2">
      <c r="K310" s="3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</row>
    <row r="311" spans="1:111" s="2" customFormat="1" x14ac:dyDescent="0.2">
      <c r="K311" s="3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</row>
    <row r="312" spans="1:111" s="2" customFormat="1" x14ac:dyDescent="0.2">
      <c r="K312" s="3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</row>
    <row r="313" spans="1:111" s="2" customFormat="1" x14ac:dyDescent="0.2">
      <c r="K313" s="3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</row>
    <row r="314" spans="1:111" s="2" customFormat="1" x14ac:dyDescent="0.2">
      <c r="K314" s="3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</row>
    <row r="315" spans="1:111" s="2" customFormat="1" x14ac:dyDescent="0.2">
      <c r="K315" s="3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</row>
    <row r="316" spans="1:111" s="2" customFormat="1" x14ac:dyDescent="0.2">
      <c r="K316" s="3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</row>
    <row r="317" spans="1:111" s="2" customFormat="1" x14ac:dyDescent="0.2">
      <c r="K317" s="3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</row>
    <row r="318" spans="1:111" s="2" customFormat="1" x14ac:dyDescent="0.2">
      <c r="K318" s="3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</row>
    <row r="319" spans="1:111" s="2" customFormat="1" x14ac:dyDescent="0.2">
      <c r="K319" s="3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</row>
    <row r="320" spans="1:111" s="2" customFormat="1" x14ac:dyDescent="0.2">
      <c r="K320" s="3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</row>
    <row r="321" spans="11:111" s="2" customFormat="1" x14ac:dyDescent="0.2">
      <c r="K321" s="3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</row>
    <row r="322" spans="11:111" s="2" customFormat="1" x14ac:dyDescent="0.2">
      <c r="K322" s="3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</row>
    <row r="323" spans="11:111" s="2" customFormat="1" x14ac:dyDescent="0.2">
      <c r="K323" s="3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</row>
    <row r="324" spans="11:111" s="2" customFormat="1" x14ac:dyDescent="0.2">
      <c r="K324" s="3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</row>
    <row r="325" spans="11:111" s="2" customFormat="1" x14ac:dyDescent="0.2">
      <c r="K325" s="3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</row>
    <row r="326" spans="11:111" s="2" customFormat="1" x14ac:dyDescent="0.2">
      <c r="K326" s="3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</row>
    <row r="327" spans="11:111" s="2" customFormat="1" x14ac:dyDescent="0.2">
      <c r="K327" s="3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</row>
    <row r="328" spans="11:111" s="2" customFormat="1" x14ac:dyDescent="0.2">
      <c r="K328" s="3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</row>
    <row r="329" spans="11:111" s="2" customFormat="1" x14ac:dyDescent="0.2">
      <c r="K329" s="3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</row>
    <row r="330" spans="11:111" s="2" customFormat="1" x14ac:dyDescent="0.2">
      <c r="K330" s="3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</row>
    <row r="331" spans="11:111" s="2" customFormat="1" x14ac:dyDescent="0.2">
      <c r="K331" s="3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</row>
    <row r="332" spans="11:111" s="2" customFormat="1" x14ac:dyDescent="0.2">
      <c r="K332" s="3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</row>
    <row r="333" spans="11:111" s="2" customFormat="1" x14ac:dyDescent="0.2">
      <c r="K333" s="3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</row>
    <row r="334" spans="11:111" s="2" customFormat="1" x14ac:dyDescent="0.2">
      <c r="K334" s="3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</row>
    <row r="335" spans="11:111" s="2" customFormat="1" x14ac:dyDescent="0.2">
      <c r="K335" s="3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</row>
    <row r="336" spans="11:111" s="2" customFormat="1" x14ac:dyDescent="0.2">
      <c r="K336" s="3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</row>
    <row r="337" spans="11:111" s="2" customFormat="1" x14ac:dyDescent="0.2">
      <c r="K337" s="3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</row>
    <row r="338" spans="11:111" s="2" customFormat="1" x14ac:dyDescent="0.2">
      <c r="K338" s="3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</row>
    <row r="339" spans="11:111" s="2" customFormat="1" x14ac:dyDescent="0.2">
      <c r="K339" s="3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</row>
    <row r="340" spans="11:111" s="2" customFormat="1" x14ac:dyDescent="0.2">
      <c r="K340" s="3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</row>
    <row r="341" spans="11:111" s="2" customFormat="1" x14ac:dyDescent="0.2">
      <c r="K341" s="3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</row>
    <row r="342" spans="11:111" s="2" customFormat="1" x14ac:dyDescent="0.2">
      <c r="K342" s="3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</row>
    <row r="343" spans="11:111" s="2" customFormat="1" x14ac:dyDescent="0.2">
      <c r="K343" s="3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</row>
    <row r="344" spans="11:111" s="2" customFormat="1" x14ac:dyDescent="0.2">
      <c r="K344" s="3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</row>
    <row r="345" spans="11:111" s="2" customFormat="1" x14ac:dyDescent="0.2">
      <c r="K345" s="3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</row>
    <row r="346" spans="11:111" s="2" customFormat="1" x14ac:dyDescent="0.2">
      <c r="K346" s="3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</row>
    <row r="347" spans="11:111" s="2" customFormat="1" x14ac:dyDescent="0.2">
      <c r="K347" s="3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</row>
    <row r="348" spans="11:111" s="2" customFormat="1" x14ac:dyDescent="0.2">
      <c r="K348" s="3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</row>
    <row r="349" spans="11:111" s="2" customFormat="1" x14ac:dyDescent="0.2">
      <c r="K349" s="3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</row>
    <row r="350" spans="11:111" s="2" customFormat="1" x14ac:dyDescent="0.2">
      <c r="K350" s="3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</row>
    <row r="351" spans="11:111" s="2" customFormat="1" x14ac:dyDescent="0.2">
      <c r="K351" s="3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</row>
    <row r="352" spans="11:111" s="2" customFormat="1" x14ac:dyDescent="0.2">
      <c r="K352" s="3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</row>
    <row r="353" spans="11:111" s="2" customFormat="1" x14ac:dyDescent="0.2">
      <c r="K353" s="3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</row>
    <row r="354" spans="11:111" s="2" customFormat="1" x14ac:dyDescent="0.2">
      <c r="K354" s="3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</row>
    <row r="355" spans="11:111" s="2" customFormat="1" x14ac:dyDescent="0.2">
      <c r="K355" s="3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</row>
    <row r="356" spans="11:111" s="2" customFormat="1" x14ac:dyDescent="0.2">
      <c r="K356" s="3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</row>
    <row r="357" spans="11:111" s="2" customFormat="1" x14ac:dyDescent="0.2">
      <c r="K357" s="3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</row>
    <row r="358" spans="11:111" s="2" customFormat="1" x14ac:dyDescent="0.2">
      <c r="K358" s="3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</row>
    <row r="359" spans="11:111" s="2" customFormat="1" x14ac:dyDescent="0.2">
      <c r="K359" s="3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</row>
    <row r="360" spans="11:111" s="2" customFormat="1" x14ac:dyDescent="0.2">
      <c r="K360" s="3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</row>
    <row r="361" spans="11:111" s="2" customFormat="1" x14ac:dyDescent="0.2">
      <c r="K361" s="3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</row>
    <row r="362" spans="11:111" s="2" customFormat="1" x14ac:dyDescent="0.2">
      <c r="K362" s="3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</row>
    <row r="363" spans="11:111" s="2" customFormat="1" x14ac:dyDescent="0.2">
      <c r="K363" s="3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</row>
    <row r="364" spans="11:111" s="2" customFormat="1" x14ac:dyDescent="0.2">
      <c r="K364" s="3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</row>
    <row r="365" spans="11:111" s="2" customFormat="1" x14ac:dyDescent="0.2">
      <c r="K365" s="3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</row>
    <row r="366" spans="11:111" s="2" customFormat="1" x14ac:dyDescent="0.2">
      <c r="K366" s="3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</row>
    <row r="367" spans="11:111" s="2" customFormat="1" x14ac:dyDescent="0.2">
      <c r="K367" s="3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</row>
    <row r="368" spans="11:111" s="2" customFormat="1" x14ac:dyDescent="0.2">
      <c r="K368" s="3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</row>
    <row r="369" spans="11:111" s="2" customFormat="1" x14ac:dyDescent="0.2">
      <c r="K369" s="3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</row>
    <row r="370" spans="11:111" s="2" customFormat="1" x14ac:dyDescent="0.2">
      <c r="K370" s="3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</row>
    <row r="371" spans="11:111" s="2" customFormat="1" x14ac:dyDescent="0.2">
      <c r="K371" s="3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</row>
    <row r="372" spans="11:111" s="2" customFormat="1" x14ac:dyDescent="0.2">
      <c r="K372" s="3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</row>
    <row r="373" spans="11:111" s="2" customFormat="1" x14ac:dyDescent="0.2">
      <c r="K373" s="3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</row>
    <row r="374" spans="11:111" s="2" customFormat="1" x14ac:dyDescent="0.2">
      <c r="K374" s="3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</row>
    <row r="375" spans="11:111" s="2" customFormat="1" x14ac:dyDescent="0.2">
      <c r="K375" s="3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</row>
    <row r="376" spans="11:111" s="2" customFormat="1" x14ac:dyDescent="0.2">
      <c r="K376" s="3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</row>
    <row r="377" spans="11:111" s="2" customFormat="1" x14ac:dyDescent="0.2">
      <c r="K377" s="3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</row>
    <row r="378" spans="11:111" s="2" customFormat="1" x14ac:dyDescent="0.2">
      <c r="K378" s="3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</row>
    <row r="379" spans="11:111" s="2" customFormat="1" x14ac:dyDescent="0.2">
      <c r="K379" s="3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</row>
    <row r="380" spans="11:111" s="2" customFormat="1" x14ac:dyDescent="0.2">
      <c r="K380" s="3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</row>
    <row r="381" spans="11:111" s="2" customFormat="1" x14ac:dyDescent="0.2">
      <c r="K381" s="3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</row>
    <row r="382" spans="11:111" s="2" customFormat="1" x14ac:dyDescent="0.2">
      <c r="K382" s="3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</row>
    <row r="383" spans="11:111" s="2" customFormat="1" x14ac:dyDescent="0.2">
      <c r="K383" s="3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</row>
    <row r="384" spans="11:111" s="2" customFormat="1" x14ac:dyDescent="0.2">
      <c r="K384" s="3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</row>
    <row r="385" spans="11:111" s="2" customFormat="1" x14ac:dyDescent="0.2">
      <c r="K385" s="3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</row>
    <row r="386" spans="11:111" s="2" customFormat="1" x14ac:dyDescent="0.2">
      <c r="K386" s="3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</row>
    <row r="387" spans="11:111" s="2" customFormat="1" x14ac:dyDescent="0.2">
      <c r="K387" s="3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</row>
    <row r="388" spans="11:111" s="2" customFormat="1" x14ac:dyDescent="0.2">
      <c r="K388" s="3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</row>
    <row r="389" spans="11:111" s="2" customFormat="1" x14ac:dyDescent="0.2"/>
    <row r="390" spans="11:111" s="2" customFormat="1" x14ac:dyDescent="0.2"/>
    <row r="391" spans="11:111" s="2" customFormat="1" x14ac:dyDescent="0.2"/>
    <row r="392" spans="11:111" s="2" customFormat="1" x14ac:dyDescent="0.2"/>
    <row r="393" spans="11:111" s="2" customFormat="1" x14ac:dyDescent="0.2"/>
    <row r="394" spans="11:111" s="2" customFormat="1" x14ac:dyDescent="0.2"/>
    <row r="395" spans="11:111" s="2" customFormat="1" x14ac:dyDescent="0.2"/>
    <row r="396" spans="11:111" s="2" customFormat="1" x14ac:dyDescent="0.2"/>
    <row r="397" spans="11:111" s="2" customFormat="1" x14ac:dyDescent="0.2"/>
    <row r="398" spans="11:111" s="2" customFormat="1" x14ac:dyDescent="0.2"/>
    <row r="399" spans="11:111" s="2" customFormat="1" x14ac:dyDescent="0.2"/>
    <row r="400" spans="11:111" s="2" customFormat="1" x14ac:dyDescent="0.2"/>
    <row r="401" s="2" customFormat="1" x14ac:dyDescent="0.2"/>
    <row r="402" s="2" customFormat="1" x14ac:dyDescent="0.2"/>
    <row r="403" s="2" customFormat="1" x14ac:dyDescent="0.2"/>
    <row r="404" s="2" customFormat="1" x14ac:dyDescent="0.2"/>
    <row r="405" s="2" customFormat="1" x14ac:dyDescent="0.2"/>
    <row r="406" s="2" customFormat="1" x14ac:dyDescent="0.2"/>
    <row r="407" s="2" customFormat="1" x14ac:dyDescent="0.2"/>
    <row r="408" s="2" customFormat="1" x14ac:dyDescent="0.2"/>
    <row r="409" s="2" customFormat="1" x14ac:dyDescent="0.2"/>
    <row r="410" s="2" customFormat="1" x14ac:dyDescent="0.2"/>
    <row r="411" s="2" customFormat="1" x14ac:dyDescent="0.2"/>
    <row r="412" s="2" customFormat="1" x14ac:dyDescent="0.2"/>
    <row r="413" s="2" customFormat="1" x14ac:dyDescent="0.2"/>
    <row r="414" s="2" customFormat="1" x14ac:dyDescent="0.2"/>
    <row r="415" s="2" customFormat="1" x14ac:dyDescent="0.2"/>
    <row r="416" s="2" customFormat="1" x14ac:dyDescent="0.2"/>
    <row r="417" s="2" customFormat="1" x14ac:dyDescent="0.2"/>
    <row r="418" s="2" customFormat="1" x14ac:dyDescent="0.2"/>
    <row r="419" s="2" customFormat="1" x14ac:dyDescent="0.2"/>
    <row r="420" s="2" customFormat="1" x14ac:dyDescent="0.2"/>
    <row r="421" s="2" customFormat="1" x14ac:dyDescent="0.2"/>
    <row r="422" s="2" customFormat="1" x14ac:dyDescent="0.2"/>
    <row r="423" s="2" customFormat="1" x14ac:dyDescent="0.2"/>
    <row r="424" s="2" customFormat="1" x14ac:dyDescent="0.2"/>
    <row r="425" s="2" customFormat="1" x14ac:dyDescent="0.2"/>
    <row r="426" s="2" customFormat="1" x14ac:dyDescent="0.2"/>
    <row r="427" s="2" customFormat="1" x14ac:dyDescent="0.2"/>
    <row r="428" s="2" customFormat="1" x14ac:dyDescent="0.2"/>
    <row r="429" s="2" customFormat="1" x14ac:dyDescent="0.2"/>
    <row r="430" s="2" customFormat="1" x14ac:dyDescent="0.2"/>
    <row r="431" s="2" customFormat="1" x14ac:dyDescent="0.2"/>
    <row r="432" s="2" customFormat="1" x14ac:dyDescent="0.2"/>
    <row r="433" s="2" customFormat="1" x14ac:dyDescent="0.2"/>
    <row r="434" s="2" customFormat="1" x14ac:dyDescent="0.2"/>
    <row r="435" s="2" customFormat="1" x14ac:dyDescent="0.2"/>
    <row r="436" s="2" customFormat="1" x14ac:dyDescent="0.2"/>
    <row r="437" s="2" customFormat="1" x14ac:dyDescent="0.2"/>
    <row r="438" s="2" customFormat="1" x14ac:dyDescent="0.2"/>
    <row r="439" s="2" customFormat="1" x14ac:dyDescent="0.2"/>
    <row r="440" s="2" customFormat="1" x14ac:dyDescent="0.2"/>
    <row r="441" s="2" customFormat="1" x14ac:dyDescent="0.2"/>
    <row r="442" s="2" customFormat="1" x14ac:dyDescent="0.2"/>
    <row r="443" s="2" customFormat="1" x14ac:dyDescent="0.2"/>
    <row r="444" s="2" customFormat="1" x14ac:dyDescent="0.2"/>
    <row r="445" s="2" customFormat="1" x14ac:dyDescent="0.2"/>
    <row r="446" s="2" customFormat="1" x14ac:dyDescent="0.2"/>
    <row r="447" s="2" customFormat="1" x14ac:dyDescent="0.2"/>
    <row r="448" s="2" customFormat="1" x14ac:dyDescent="0.2"/>
    <row r="449" s="2" customFormat="1" x14ac:dyDescent="0.2"/>
    <row r="450" s="2" customFormat="1" x14ac:dyDescent="0.2"/>
    <row r="451" s="2" customFormat="1" x14ac:dyDescent="0.2"/>
    <row r="452" s="2" customFormat="1" x14ac:dyDescent="0.2"/>
    <row r="453" s="2" customFormat="1" x14ac:dyDescent="0.2"/>
    <row r="454" s="2" customFormat="1" x14ac:dyDescent="0.2"/>
    <row r="455" s="2" customFormat="1" x14ac:dyDescent="0.2"/>
    <row r="456" s="2" customFormat="1" x14ac:dyDescent="0.2"/>
    <row r="457" s="2" customFormat="1" x14ac:dyDescent="0.2"/>
    <row r="458" s="2" customFormat="1" x14ac:dyDescent="0.2"/>
    <row r="459" s="2" customFormat="1" x14ac:dyDescent="0.2"/>
    <row r="460" s="2" customFormat="1" x14ac:dyDescent="0.2"/>
    <row r="461" s="2" customFormat="1" x14ac:dyDescent="0.2"/>
    <row r="462" s="2" customFormat="1" x14ac:dyDescent="0.2"/>
    <row r="463" s="2" customFormat="1" x14ac:dyDescent="0.2"/>
    <row r="464" s="2" customFormat="1" x14ac:dyDescent="0.2"/>
    <row r="465" s="2" customFormat="1" x14ac:dyDescent="0.2"/>
    <row r="466" s="2" customFormat="1" x14ac:dyDescent="0.2"/>
    <row r="467" s="2" customFormat="1" x14ac:dyDescent="0.2"/>
    <row r="468" s="2" customFormat="1" x14ac:dyDescent="0.2"/>
    <row r="469" s="2" customFormat="1" x14ac:dyDescent="0.2"/>
    <row r="470" s="2" customFormat="1" x14ac:dyDescent="0.2"/>
    <row r="471" s="2" customFormat="1" x14ac:dyDescent="0.2"/>
    <row r="472" s="2" customFormat="1" x14ac:dyDescent="0.2"/>
    <row r="473" s="2" customFormat="1" x14ac:dyDescent="0.2"/>
    <row r="474" s="2" customFormat="1" x14ac:dyDescent="0.2"/>
    <row r="475" s="2" customFormat="1" x14ac:dyDescent="0.2"/>
    <row r="476" s="2" customFormat="1" x14ac:dyDescent="0.2"/>
    <row r="477" s="2" customFormat="1" x14ac:dyDescent="0.2"/>
    <row r="478" s="2" customFormat="1" x14ac:dyDescent="0.2"/>
    <row r="479" s="2" customFormat="1" x14ac:dyDescent="0.2"/>
    <row r="480" s="2" customFormat="1" x14ac:dyDescent="0.2"/>
    <row r="481" s="2" customFormat="1" x14ac:dyDescent="0.2"/>
    <row r="482" s="2" customFormat="1" x14ac:dyDescent="0.2"/>
    <row r="483" s="2" customFormat="1" x14ac:dyDescent="0.2"/>
    <row r="484" s="2" customFormat="1" x14ac:dyDescent="0.2"/>
    <row r="485" s="2" customFormat="1" x14ac:dyDescent="0.2"/>
    <row r="486" s="2" customFormat="1" x14ac:dyDescent="0.2"/>
    <row r="487" s="2" customFormat="1" x14ac:dyDescent="0.2"/>
    <row r="488" s="2" customFormat="1" x14ac:dyDescent="0.2"/>
    <row r="489" s="2" customFormat="1" x14ac:dyDescent="0.2"/>
    <row r="490" s="2" customFormat="1" x14ac:dyDescent="0.2"/>
    <row r="491" s="2" customFormat="1" x14ac:dyDescent="0.2"/>
    <row r="492" s="2" customFormat="1" x14ac:dyDescent="0.2"/>
    <row r="493" s="2" customFormat="1" x14ac:dyDescent="0.2"/>
    <row r="494" s="2" customFormat="1" x14ac:dyDescent="0.2"/>
    <row r="495" s="2" customFormat="1" x14ac:dyDescent="0.2"/>
    <row r="496" s="2" customFormat="1" x14ac:dyDescent="0.2"/>
    <row r="497" s="2" customFormat="1" x14ac:dyDescent="0.2"/>
    <row r="498" s="2" customFormat="1" x14ac:dyDescent="0.2"/>
    <row r="499" s="2" customFormat="1" x14ac:dyDescent="0.2"/>
    <row r="500" s="2" customFormat="1" x14ac:dyDescent="0.2"/>
    <row r="501" s="2" customFormat="1" x14ac:dyDescent="0.2"/>
    <row r="502" s="2" customFormat="1" x14ac:dyDescent="0.2"/>
    <row r="503" s="2" customFormat="1" x14ac:dyDescent="0.2"/>
    <row r="504" s="2" customFormat="1" x14ac:dyDescent="0.2"/>
    <row r="505" s="2" customFormat="1" x14ac:dyDescent="0.2"/>
    <row r="506" s="2" customFormat="1" x14ac:dyDescent="0.2"/>
    <row r="507" s="2" customFormat="1" x14ac:dyDescent="0.2"/>
    <row r="508" s="2" customFormat="1" x14ac:dyDescent="0.2"/>
    <row r="509" s="2" customFormat="1" x14ac:dyDescent="0.2"/>
    <row r="510" s="2" customFormat="1" x14ac:dyDescent="0.2"/>
    <row r="511" s="2" customFormat="1" x14ac:dyDescent="0.2"/>
    <row r="512" s="2" customFormat="1" x14ac:dyDescent="0.2"/>
    <row r="513" s="2" customFormat="1" x14ac:dyDescent="0.2"/>
    <row r="514" s="2" customFormat="1" x14ac:dyDescent="0.2"/>
    <row r="515" s="2" customFormat="1" x14ac:dyDescent="0.2"/>
    <row r="516" s="2" customFormat="1" x14ac:dyDescent="0.2"/>
    <row r="517" s="2" customFormat="1" x14ac:dyDescent="0.2"/>
    <row r="518" s="2" customFormat="1" x14ac:dyDescent="0.2"/>
    <row r="519" s="2" customFormat="1" x14ac:dyDescent="0.2"/>
    <row r="520" s="2" customFormat="1" x14ac:dyDescent="0.2"/>
    <row r="521" s="2" customFormat="1" x14ac:dyDescent="0.2"/>
    <row r="522" s="2" customFormat="1" x14ac:dyDescent="0.2"/>
    <row r="523" s="2" customFormat="1" x14ac:dyDescent="0.2"/>
    <row r="524" s="2" customFormat="1" x14ac:dyDescent="0.2"/>
    <row r="525" s="2" customFormat="1" x14ac:dyDescent="0.2"/>
    <row r="526" s="2" customFormat="1" x14ac:dyDescent="0.2"/>
    <row r="527" s="2" customFormat="1" x14ac:dyDescent="0.2"/>
    <row r="528" s="2" customFormat="1" x14ac:dyDescent="0.2"/>
    <row r="529" s="2" customFormat="1" x14ac:dyDescent="0.2"/>
    <row r="530" s="2" customFormat="1" x14ac:dyDescent="0.2"/>
    <row r="531" s="2" customFormat="1" x14ac:dyDescent="0.2"/>
    <row r="532" s="2" customFormat="1" x14ac:dyDescent="0.2"/>
    <row r="533" s="2" customFormat="1" x14ac:dyDescent="0.2"/>
    <row r="534" s="2" customFormat="1" x14ac:dyDescent="0.2"/>
    <row r="535" s="2" customFormat="1" x14ac:dyDescent="0.2"/>
    <row r="536" s="2" customFormat="1" x14ac:dyDescent="0.2"/>
    <row r="537" s="2" customFormat="1" x14ac:dyDescent="0.2"/>
    <row r="538" s="2" customFormat="1" x14ac:dyDescent="0.2"/>
    <row r="539" s="2" customFormat="1" x14ac:dyDescent="0.2"/>
    <row r="540" s="2" customFormat="1" x14ac:dyDescent="0.2"/>
    <row r="541" s="2" customFormat="1" x14ac:dyDescent="0.2"/>
    <row r="542" s="2" customFormat="1" x14ac:dyDescent="0.2"/>
    <row r="543" s="2" customFormat="1" x14ac:dyDescent="0.2"/>
    <row r="544" s="2" customFormat="1" x14ac:dyDescent="0.2"/>
    <row r="545" s="2" customFormat="1" x14ac:dyDescent="0.2"/>
    <row r="546" s="2" customFormat="1" x14ac:dyDescent="0.2"/>
    <row r="547" s="2" customFormat="1" x14ac:dyDescent="0.2"/>
    <row r="548" s="2" customFormat="1" x14ac:dyDescent="0.2"/>
    <row r="549" s="2" customFormat="1" x14ac:dyDescent="0.2"/>
    <row r="550" s="2" customFormat="1" x14ac:dyDescent="0.2"/>
    <row r="551" s="2" customFormat="1" x14ac:dyDescent="0.2"/>
    <row r="552" s="2" customFormat="1" x14ac:dyDescent="0.2"/>
    <row r="553" s="2" customFormat="1" x14ac:dyDescent="0.2"/>
    <row r="554" s="2" customFormat="1" x14ac:dyDescent="0.2"/>
    <row r="555" s="2" customFormat="1" x14ac:dyDescent="0.2"/>
    <row r="556" s="2" customFormat="1" x14ac:dyDescent="0.2"/>
    <row r="557" s="2" customFormat="1" x14ac:dyDescent="0.2"/>
    <row r="558" s="2" customFormat="1" x14ac:dyDescent="0.2"/>
    <row r="559" s="2" customFormat="1" x14ac:dyDescent="0.2"/>
    <row r="560" s="2" customFormat="1" x14ac:dyDescent="0.2"/>
    <row r="561" s="2" customFormat="1" x14ac:dyDescent="0.2"/>
    <row r="562" s="2" customFormat="1" x14ac:dyDescent="0.2"/>
    <row r="563" s="2" customFormat="1" x14ac:dyDescent="0.2"/>
    <row r="564" s="2" customFormat="1" x14ac:dyDescent="0.2"/>
    <row r="565" s="2" customFormat="1" x14ac:dyDescent="0.2"/>
    <row r="566" s="2" customFormat="1" x14ac:dyDescent="0.2"/>
    <row r="567" s="2" customFormat="1" x14ac:dyDescent="0.2"/>
    <row r="568" s="2" customFormat="1" x14ac:dyDescent="0.2"/>
    <row r="569" s="2" customFormat="1" x14ac:dyDescent="0.2"/>
    <row r="570" s="2" customFormat="1" x14ac:dyDescent="0.2"/>
    <row r="571" s="2" customFormat="1" x14ac:dyDescent="0.2"/>
    <row r="572" s="2" customFormat="1" x14ac:dyDescent="0.2"/>
    <row r="573" s="2" customFormat="1" x14ac:dyDescent="0.2"/>
    <row r="574" s="2" customFormat="1" x14ac:dyDescent="0.2"/>
    <row r="575" s="2" customFormat="1" x14ac:dyDescent="0.2"/>
    <row r="576" s="2" customFormat="1" x14ac:dyDescent="0.2"/>
    <row r="577" s="2" customFormat="1" x14ac:dyDescent="0.2"/>
    <row r="578" s="2" customFormat="1" x14ac:dyDescent="0.2"/>
    <row r="579" s="2" customFormat="1" x14ac:dyDescent="0.2"/>
    <row r="580" s="2" customFormat="1" x14ac:dyDescent="0.2"/>
    <row r="581" s="2" customFormat="1" x14ac:dyDescent="0.2"/>
    <row r="582" s="2" customFormat="1" x14ac:dyDescent="0.2"/>
    <row r="583" s="2" customFormat="1" x14ac:dyDescent="0.2"/>
    <row r="584" s="2" customFormat="1" x14ac:dyDescent="0.2"/>
    <row r="585" s="2" customFormat="1" x14ac:dyDescent="0.2"/>
    <row r="586" s="2" customFormat="1" x14ac:dyDescent="0.2"/>
    <row r="587" s="2" customFormat="1" x14ac:dyDescent="0.2"/>
    <row r="588" s="2" customFormat="1" x14ac:dyDescent="0.2"/>
    <row r="589" s="2" customFormat="1" x14ac:dyDescent="0.2"/>
    <row r="590" s="2" customFormat="1" x14ac:dyDescent="0.2"/>
    <row r="591" s="2" customFormat="1" x14ac:dyDescent="0.2"/>
    <row r="592" s="2" customFormat="1" x14ac:dyDescent="0.2"/>
    <row r="593" s="2" customFormat="1" x14ac:dyDescent="0.2"/>
    <row r="594" s="2" customFormat="1" x14ac:dyDescent="0.2"/>
    <row r="595" s="2" customFormat="1" x14ac:dyDescent="0.2"/>
    <row r="596" s="2" customFormat="1" x14ac:dyDescent="0.2"/>
    <row r="597" s="2" customFormat="1" x14ac:dyDescent="0.2"/>
    <row r="598" s="2" customFormat="1" x14ac:dyDescent="0.2"/>
    <row r="599" s="2" customFormat="1" x14ac:dyDescent="0.2"/>
    <row r="600" s="2" customFormat="1" x14ac:dyDescent="0.2"/>
    <row r="601" s="2" customFormat="1" x14ac:dyDescent="0.2"/>
    <row r="602" s="2" customFormat="1" x14ac:dyDescent="0.2"/>
    <row r="603" s="2" customFormat="1" x14ac:dyDescent="0.2"/>
    <row r="604" s="2" customFormat="1" x14ac:dyDescent="0.2"/>
    <row r="605" s="2" customFormat="1" x14ac:dyDescent="0.2"/>
    <row r="606" s="2" customFormat="1" x14ac:dyDescent="0.2"/>
    <row r="607" s="2" customFormat="1" x14ac:dyDescent="0.2"/>
    <row r="608" s="2" customFormat="1" x14ac:dyDescent="0.2"/>
    <row r="609" s="2" customFormat="1" x14ac:dyDescent="0.2"/>
    <row r="610" s="2" customFormat="1" x14ac:dyDescent="0.2"/>
    <row r="611" s="2" customFormat="1" x14ac:dyDescent="0.2"/>
    <row r="612" s="2" customFormat="1" x14ac:dyDescent="0.2"/>
    <row r="613" s="2" customFormat="1" x14ac:dyDescent="0.2"/>
    <row r="614" s="2" customFormat="1" x14ac:dyDescent="0.2"/>
    <row r="615" s="2" customFormat="1" x14ac:dyDescent="0.2"/>
    <row r="616" s="2" customFormat="1" x14ac:dyDescent="0.2"/>
    <row r="617" s="2" customFormat="1" x14ac:dyDescent="0.2"/>
    <row r="618" s="2" customFormat="1" x14ac:dyDescent="0.2"/>
    <row r="619" s="2" customFormat="1" x14ac:dyDescent="0.2"/>
    <row r="620" s="2" customFormat="1" x14ac:dyDescent="0.2"/>
    <row r="621" s="2" customFormat="1" x14ac:dyDescent="0.2"/>
    <row r="622" s="2" customFormat="1" x14ac:dyDescent="0.2"/>
    <row r="623" s="2" customFormat="1" x14ac:dyDescent="0.2"/>
    <row r="624" s="2" customFormat="1" x14ac:dyDescent="0.2"/>
    <row r="625" s="2" customFormat="1" x14ac:dyDescent="0.2"/>
    <row r="626" s="2" customFormat="1" x14ac:dyDescent="0.2"/>
    <row r="627" s="2" customFormat="1" x14ac:dyDescent="0.2"/>
    <row r="628" s="2" customFormat="1" x14ac:dyDescent="0.2"/>
    <row r="629" s="2" customFormat="1" x14ac:dyDescent="0.2"/>
    <row r="630" s="2" customFormat="1" x14ac:dyDescent="0.2"/>
    <row r="631" s="2" customFormat="1" x14ac:dyDescent="0.2"/>
    <row r="632" s="2" customFormat="1" x14ac:dyDescent="0.2"/>
    <row r="633" s="2" customFormat="1" x14ac:dyDescent="0.2"/>
    <row r="634" s="2" customFormat="1" x14ac:dyDescent="0.2"/>
    <row r="635" s="2" customFormat="1" x14ac:dyDescent="0.2"/>
    <row r="636" s="2" customFormat="1" x14ac:dyDescent="0.2"/>
    <row r="637" s="2" customFormat="1" x14ac:dyDescent="0.2"/>
    <row r="638" s="2" customFormat="1" x14ac:dyDescent="0.2"/>
    <row r="639" s="2" customFormat="1" x14ac:dyDescent="0.2"/>
    <row r="640" s="2" customFormat="1" x14ac:dyDescent="0.2"/>
    <row r="641" s="2" customFormat="1" x14ac:dyDescent="0.2"/>
    <row r="642" s="2" customFormat="1" x14ac:dyDescent="0.2"/>
    <row r="643" s="2" customFormat="1" x14ac:dyDescent="0.2"/>
    <row r="644" s="2" customFormat="1" x14ac:dyDescent="0.2"/>
    <row r="645" s="2" customFormat="1" x14ac:dyDescent="0.2"/>
    <row r="646" s="2" customFormat="1" x14ac:dyDescent="0.2"/>
    <row r="647" s="2" customFormat="1" x14ac:dyDescent="0.2"/>
    <row r="648" s="2" customFormat="1" x14ac:dyDescent="0.2"/>
    <row r="649" s="2" customFormat="1" x14ac:dyDescent="0.2"/>
    <row r="650" s="2" customFormat="1" x14ac:dyDescent="0.2"/>
    <row r="651" s="2" customFormat="1" x14ac:dyDescent="0.2"/>
    <row r="652" s="2" customFormat="1" x14ac:dyDescent="0.2"/>
    <row r="653" s="2" customFormat="1" x14ac:dyDescent="0.2"/>
    <row r="654" s="2" customFormat="1" x14ac:dyDescent="0.2"/>
    <row r="655" s="2" customFormat="1" x14ac:dyDescent="0.2"/>
    <row r="656" s="2" customFormat="1" x14ac:dyDescent="0.2"/>
    <row r="657" s="2" customFormat="1" x14ac:dyDescent="0.2"/>
    <row r="658" s="2" customFormat="1" x14ac:dyDescent="0.2"/>
    <row r="659" s="2" customFormat="1" x14ac:dyDescent="0.2"/>
    <row r="660" s="2" customFormat="1" x14ac:dyDescent="0.2"/>
    <row r="661" s="2" customFormat="1" x14ac:dyDescent="0.2"/>
    <row r="662" s="2" customFormat="1" x14ac:dyDescent="0.2"/>
    <row r="663" s="2" customFormat="1" x14ac:dyDescent="0.2"/>
    <row r="664" s="2" customFormat="1" x14ac:dyDescent="0.2"/>
    <row r="665" s="2" customFormat="1" x14ac:dyDescent="0.2"/>
    <row r="666" s="2" customFormat="1" x14ac:dyDescent="0.2"/>
    <row r="667" s="2" customFormat="1" x14ac:dyDescent="0.2"/>
    <row r="668" s="2" customFormat="1" x14ac:dyDescent="0.2"/>
    <row r="669" s="2" customFormat="1" x14ac:dyDescent="0.2"/>
    <row r="670" s="2" customFormat="1" x14ac:dyDescent="0.2"/>
    <row r="671" s="2" customFormat="1" x14ac:dyDescent="0.2"/>
    <row r="672" s="2" customFormat="1" x14ac:dyDescent="0.2"/>
    <row r="673" s="2" customFormat="1" x14ac:dyDescent="0.2"/>
    <row r="674" s="2" customFormat="1" x14ac:dyDescent="0.2"/>
    <row r="675" s="2" customFormat="1" x14ac:dyDescent="0.2"/>
    <row r="676" s="2" customFormat="1" x14ac:dyDescent="0.2"/>
    <row r="677" s="2" customFormat="1" x14ac:dyDescent="0.2"/>
    <row r="678" s="2" customFormat="1" x14ac:dyDescent="0.2"/>
    <row r="679" s="2" customFormat="1" x14ac:dyDescent="0.2"/>
    <row r="680" s="2" customFormat="1" x14ac:dyDescent="0.2"/>
    <row r="681" s="2" customFormat="1" x14ac:dyDescent="0.2"/>
    <row r="682" s="2" customFormat="1" x14ac:dyDescent="0.2"/>
    <row r="683" s="2" customFormat="1" x14ac:dyDescent="0.2"/>
    <row r="684" s="2" customFormat="1" x14ac:dyDescent="0.2"/>
    <row r="685" s="2" customFormat="1" x14ac:dyDescent="0.2"/>
    <row r="686" s="2" customFormat="1" x14ac:dyDescent="0.2"/>
    <row r="687" s="2" customFormat="1" x14ac:dyDescent="0.2"/>
    <row r="688" s="2" customFormat="1" x14ac:dyDescent="0.2"/>
    <row r="689" s="2" customFormat="1" x14ac:dyDescent="0.2"/>
    <row r="690" s="2" customFormat="1" x14ac:dyDescent="0.2"/>
    <row r="691" s="2" customFormat="1" x14ac:dyDescent="0.2"/>
    <row r="692" s="2" customFormat="1" x14ac:dyDescent="0.2"/>
    <row r="693" s="2" customFormat="1" x14ac:dyDescent="0.2"/>
    <row r="694" s="2" customFormat="1" x14ac:dyDescent="0.2"/>
    <row r="695" s="2" customFormat="1" x14ac:dyDescent="0.2"/>
    <row r="696" s="2" customFormat="1" x14ac:dyDescent="0.2"/>
    <row r="697" s="2" customFormat="1" x14ac:dyDescent="0.2"/>
    <row r="698" s="2" customFormat="1" x14ac:dyDescent="0.2"/>
    <row r="699" s="2" customFormat="1" x14ac:dyDescent="0.2"/>
    <row r="700" s="2" customFormat="1" x14ac:dyDescent="0.2"/>
    <row r="701" s="2" customFormat="1" x14ac:dyDescent="0.2"/>
    <row r="702" s="2" customFormat="1" x14ac:dyDescent="0.2"/>
    <row r="703" s="2" customFormat="1" x14ac:dyDescent="0.2"/>
    <row r="704" s="2" customFormat="1" x14ac:dyDescent="0.2"/>
    <row r="705" s="2" customFormat="1" x14ac:dyDescent="0.2"/>
    <row r="706" s="2" customFormat="1" x14ac:dyDescent="0.2"/>
    <row r="707" s="2" customFormat="1" x14ac:dyDescent="0.2"/>
    <row r="708" s="2" customFormat="1" x14ac:dyDescent="0.2"/>
    <row r="709" s="2" customFormat="1" x14ac:dyDescent="0.2"/>
    <row r="710" s="2" customFormat="1" x14ac:dyDescent="0.2"/>
    <row r="711" s="2" customFormat="1" x14ac:dyDescent="0.2"/>
    <row r="712" s="2" customFormat="1" x14ac:dyDescent="0.2"/>
    <row r="713" s="2" customFormat="1" x14ac:dyDescent="0.2"/>
    <row r="714" s="2" customFormat="1" x14ac:dyDescent="0.2"/>
    <row r="715" s="2" customFormat="1" x14ac:dyDescent="0.2"/>
    <row r="716" s="2" customFormat="1" x14ac:dyDescent="0.2"/>
    <row r="717" s="2" customFormat="1" x14ac:dyDescent="0.2"/>
    <row r="718" s="2" customFormat="1" x14ac:dyDescent="0.2"/>
    <row r="719" s="2" customFormat="1" x14ac:dyDescent="0.2"/>
    <row r="720" s="2" customFormat="1" x14ac:dyDescent="0.2"/>
    <row r="721" s="2" customFormat="1" x14ac:dyDescent="0.2"/>
    <row r="722" s="2" customFormat="1" x14ac:dyDescent="0.2"/>
    <row r="723" s="2" customFormat="1" x14ac:dyDescent="0.2"/>
    <row r="724" s="2" customFormat="1" x14ac:dyDescent="0.2"/>
    <row r="725" s="2" customFormat="1" x14ac:dyDescent="0.2"/>
    <row r="726" s="2" customFormat="1" x14ac:dyDescent="0.2"/>
    <row r="727" s="2" customFormat="1" x14ac:dyDescent="0.2"/>
    <row r="728" s="2" customFormat="1" x14ac:dyDescent="0.2"/>
    <row r="729" s="2" customFormat="1" x14ac:dyDescent="0.2"/>
    <row r="730" s="2" customFormat="1" x14ac:dyDescent="0.2"/>
    <row r="731" s="2" customFormat="1" x14ac:dyDescent="0.2"/>
    <row r="732" s="2" customFormat="1" x14ac:dyDescent="0.2"/>
  </sheetData>
  <mergeCells count="1">
    <mergeCell ref="D18:F18"/>
  </mergeCells>
  <phoneticPr fontId="0" type="noConversion"/>
  <pageMargins left="0.75" right="0.75" top="1" bottom="1" header="0.5" footer="0.5"/>
  <pageSetup paperSize="9" orientation="portrait" horizontalDpi="200" verticalDpi="200" copies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G726"/>
  <sheetViews>
    <sheetView showGridLines="0" tabSelected="1" workbookViewId="0">
      <pane ySplit="1" topLeftCell="A41" activePane="bottomLeft" state="frozen"/>
      <selection pane="bottomLeft" activeCell="C16" sqref="C16"/>
    </sheetView>
  </sheetViews>
  <sheetFormatPr defaultColWidth="11" defaultRowHeight="12.75" x14ac:dyDescent="0.2"/>
  <cols>
    <col min="2" max="2" width="12.42578125" style="2" bestFit="1" customWidth="1"/>
    <col min="3" max="3" width="10.42578125" style="2" bestFit="1" customWidth="1"/>
    <col min="4" max="4" width="29.28515625" style="2" bestFit="1" customWidth="1"/>
    <col min="5" max="5" width="28.85546875" style="2" bestFit="1" customWidth="1"/>
    <col min="6" max="6" width="15.140625" style="2" customWidth="1"/>
    <col min="7" max="7" width="10" style="2" bestFit="1" customWidth="1"/>
    <col min="8" max="8" width="25.7109375" style="2" bestFit="1" customWidth="1"/>
    <col min="9" max="9" width="13.140625" style="2" bestFit="1" customWidth="1"/>
    <col min="10" max="10" width="11" style="2"/>
    <col min="11" max="11" width="8.85546875" style="2" bestFit="1" customWidth="1"/>
    <col min="12" max="12" width="11" style="2"/>
    <col min="13" max="13" width="9.140625" style="2" bestFit="1" customWidth="1"/>
    <col min="14" max="14" width="7.140625" style="2" bestFit="1" customWidth="1"/>
    <col min="15" max="42" width="11" style="2"/>
  </cols>
  <sheetData>
    <row r="1" spans="1:111" x14ac:dyDescent="0.2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</row>
    <row r="2" spans="1:111" ht="13.5" thickBot="1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9"/>
      <c r="L2" s="9"/>
      <c r="M2" s="9"/>
      <c r="N2" s="9"/>
      <c r="O2" s="9"/>
      <c r="P2" s="9"/>
      <c r="Q2" s="9"/>
      <c r="R2" s="9"/>
      <c r="S2" s="9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/>
      <c r="AF2"/>
      <c r="AG2"/>
      <c r="AH2"/>
      <c r="AI2"/>
      <c r="AJ2"/>
      <c r="AK2"/>
      <c r="AL2"/>
      <c r="AM2"/>
      <c r="AN2"/>
      <c r="AO2"/>
      <c r="AP2"/>
    </row>
    <row r="3" spans="1:111" s="2" customFormat="1" ht="15.75" thickBot="1" x14ac:dyDescent="0.3">
      <c r="A3" s="10"/>
      <c r="B3" s="46"/>
      <c r="C3" s="46"/>
      <c r="E3" s="46"/>
      <c r="F3" s="123"/>
      <c r="G3" s="123"/>
      <c r="H3" s="46"/>
      <c r="I3" s="46"/>
      <c r="J3" s="46"/>
      <c r="K3" s="46"/>
      <c r="L3" s="46"/>
      <c r="M3" s="124" t="s">
        <v>9</v>
      </c>
      <c r="N3" s="125"/>
      <c r="O3" s="11"/>
      <c r="P3" s="12"/>
      <c r="Q3" s="12"/>
      <c r="R3" s="12"/>
      <c r="S3" s="12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</row>
    <row r="4" spans="1:111" s="2" customFormat="1" ht="15.75" thickBot="1" x14ac:dyDescent="0.3">
      <c r="A4" s="10"/>
      <c r="B4" s="46"/>
      <c r="C4" s="46"/>
      <c r="D4" s="46"/>
      <c r="E4" s="46"/>
      <c r="F4" s="126" t="s">
        <v>8</v>
      </c>
      <c r="G4" s="127"/>
      <c r="H4" s="46"/>
      <c r="I4" s="46"/>
      <c r="J4" s="46"/>
      <c r="K4" s="46"/>
      <c r="L4" s="46"/>
      <c r="M4" s="124" t="s">
        <v>9</v>
      </c>
      <c r="N4" s="125"/>
      <c r="O4" s="44"/>
      <c r="P4" s="44"/>
      <c r="Q4" s="44"/>
      <c r="R4" s="44"/>
      <c r="S4" s="44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</row>
    <row r="5" spans="1:111" s="2" customFormat="1" ht="15.75" thickBot="1" x14ac:dyDescent="0.3">
      <c r="A5" s="10"/>
      <c r="B5" s="121" t="s">
        <v>10</v>
      </c>
      <c r="C5" s="122"/>
      <c r="D5" s="46"/>
      <c r="E5" s="47"/>
      <c r="F5" s="48" t="s">
        <v>11</v>
      </c>
      <c r="G5" s="49" t="s">
        <v>12</v>
      </c>
      <c r="H5" s="50" t="s">
        <v>13</v>
      </c>
      <c r="I5" s="51" t="s">
        <v>14</v>
      </c>
      <c r="J5" s="52" t="s">
        <v>15</v>
      </c>
      <c r="K5" s="53" t="s">
        <v>16</v>
      </c>
      <c r="L5" s="46"/>
      <c r="M5" s="54" t="s">
        <v>17</v>
      </c>
      <c r="N5" s="49" t="s">
        <v>16</v>
      </c>
      <c r="O5" s="23"/>
      <c r="P5" s="23"/>
      <c r="Q5" s="23"/>
      <c r="R5" s="23"/>
      <c r="S5" s="23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</row>
    <row r="6" spans="1:111" s="2" customFormat="1" ht="15" x14ac:dyDescent="0.25">
      <c r="A6" s="10"/>
      <c r="B6" s="55" t="s">
        <v>18</v>
      </c>
      <c r="C6" s="150">
        <v>0.01</v>
      </c>
      <c r="D6" s="46"/>
      <c r="E6" s="55" t="s">
        <v>19</v>
      </c>
      <c r="F6" s="130">
        <v>500</v>
      </c>
      <c r="G6" s="154">
        <v>0.1</v>
      </c>
      <c r="H6" s="155">
        <v>0.27174770854756086</v>
      </c>
      <c r="I6" s="156">
        <f>SUM($G$26:$G$45)</f>
        <v>0.84114296103832076</v>
      </c>
      <c r="J6" s="157">
        <f>SUM($H$26:$H$45)</f>
        <v>0.14205714805191538</v>
      </c>
      <c r="K6" s="158">
        <f>J6-I6*F6/10000-G6</f>
        <v>-6.6613381477509392E-16</v>
      </c>
      <c r="L6" s="46"/>
      <c r="M6" s="57">
        <v>500</v>
      </c>
      <c r="N6" s="58">
        <f>J6-M6*I6/10000</f>
        <v>9.9999999999999339E-2</v>
      </c>
      <c r="O6" s="23"/>
      <c r="P6" s="23"/>
      <c r="Q6" s="23"/>
      <c r="R6" s="23"/>
      <c r="S6" s="23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</row>
    <row r="7" spans="1:111" s="2" customFormat="1" ht="15.75" thickBot="1" x14ac:dyDescent="0.3">
      <c r="A7" s="10"/>
      <c r="B7" s="60" t="s">
        <v>20</v>
      </c>
      <c r="C7" s="151">
        <v>0.4</v>
      </c>
      <c r="D7" s="46"/>
      <c r="E7" s="56" t="s">
        <v>21</v>
      </c>
      <c r="F7" s="131">
        <v>500</v>
      </c>
      <c r="G7" s="152">
        <v>0.1</v>
      </c>
      <c r="H7" s="95">
        <v>8.2395199766329988E-2</v>
      </c>
      <c r="I7" s="96">
        <f>SUM($G$26:$G$65)</f>
        <v>1.5535105230429842</v>
      </c>
      <c r="J7" s="97">
        <f>SUM($H$26:$H$65)</f>
        <v>0.17767552615214929</v>
      </c>
      <c r="K7" s="98">
        <f>J7-I7*F7/10000-G7</f>
        <v>0</v>
      </c>
      <c r="L7" s="46"/>
      <c r="M7" s="57">
        <v>500</v>
      </c>
      <c r="N7" s="58">
        <f>J7-M7*I7/10000</f>
        <v>0.10000000000000007</v>
      </c>
      <c r="O7" s="23"/>
      <c r="P7" s="23"/>
      <c r="Q7" s="23"/>
      <c r="R7" s="23"/>
      <c r="S7" s="23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</row>
    <row r="8" spans="1:111" s="2" customFormat="1" ht="15" x14ac:dyDescent="0.25">
      <c r="A8" s="10"/>
      <c r="B8" s="46"/>
      <c r="C8" s="46"/>
      <c r="D8" s="46"/>
      <c r="E8" s="56" t="s">
        <v>22</v>
      </c>
      <c r="F8" s="131">
        <v>500</v>
      </c>
      <c r="G8" s="152">
        <v>0.1</v>
      </c>
      <c r="H8" s="95">
        <v>8.2395199766329502E-2</v>
      </c>
      <c r="I8" s="96">
        <f>SUM($G$26:$G$85)</f>
        <v>2.2030079127728053</v>
      </c>
      <c r="J8" s="97">
        <f>SUM($H$26:$H$85)</f>
        <v>0.21015039563864116</v>
      </c>
      <c r="K8" s="98">
        <f>J8-I8*F8/10000-G8</f>
        <v>8.8817841970012523E-16</v>
      </c>
      <c r="L8" s="46"/>
      <c r="M8" s="57">
        <v>500</v>
      </c>
      <c r="N8" s="58">
        <f>J8-M8*I8/10000</f>
        <v>0.10000000000000089</v>
      </c>
      <c r="O8" s="23"/>
      <c r="P8" s="23"/>
      <c r="Q8" s="23"/>
      <c r="R8" s="23"/>
      <c r="S8" s="23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</row>
    <row r="9" spans="1:111" s="2" customFormat="1" ht="15" x14ac:dyDescent="0.25">
      <c r="A9" s="10"/>
      <c r="B9" s="46"/>
      <c r="C9" s="46"/>
      <c r="D9" s="46"/>
      <c r="E9" s="56" t="s">
        <v>23</v>
      </c>
      <c r="F9" s="131">
        <v>500</v>
      </c>
      <c r="G9" s="152">
        <v>0.1</v>
      </c>
      <c r="H9" s="95">
        <v>8.2395199766324825E-2</v>
      </c>
      <c r="I9" s="96">
        <f>SUM($G$26:$G$105)</f>
        <v>2.7951837525580117</v>
      </c>
      <c r="J9" s="97">
        <f>SUM($H$26:$H$105)</f>
        <v>0.23975918762790058</v>
      </c>
      <c r="K9" s="98">
        <f>J9-I9*F9/10000-G9</f>
        <v>0</v>
      </c>
      <c r="L9" s="46"/>
      <c r="M9" s="57">
        <v>500</v>
      </c>
      <c r="N9" s="58">
        <f>J9-M9*I9/10000</f>
        <v>9.9999999999999978E-2</v>
      </c>
      <c r="O9" s="23"/>
      <c r="P9" s="23"/>
      <c r="Q9" s="23"/>
      <c r="R9" s="23"/>
      <c r="S9" s="23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</row>
    <row r="10" spans="1:111" s="2" customFormat="1" ht="15.75" thickBot="1" x14ac:dyDescent="0.3">
      <c r="A10" s="10"/>
      <c r="D10" s="46"/>
      <c r="E10" s="60" t="s">
        <v>24</v>
      </c>
      <c r="F10" s="159">
        <v>500</v>
      </c>
      <c r="G10" s="153">
        <v>0.1</v>
      </c>
      <c r="H10" s="99">
        <v>8.2395199766328767E-2</v>
      </c>
      <c r="I10" s="100">
        <f>SUM($G$26:$G$125)</f>
        <v>3.3350969697168806</v>
      </c>
      <c r="J10" s="101">
        <f>SUM($H$26:$H$125)</f>
        <v>0.26675484848584385</v>
      </c>
      <c r="K10" s="102">
        <f>J10-I10*F10/10000-G10</f>
        <v>-1.9428902930940239E-16</v>
      </c>
      <c r="L10" s="46"/>
      <c r="M10" s="61">
        <v>500</v>
      </c>
      <c r="N10" s="62">
        <f>J10-M10*I10/10000</f>
        <v>9.9999999999999811E-2</v>
      </c>
      <c r="O10" s="23"/>
      <c r="P10" s="23"/>
      <c r="Q10" s="23"/>
      <c r="R10" s="23"/>
      <c r="S10" s="23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</row>
    <row r="11" spans="1:111" s="2" customFormat="1" ht="15.75" thickBot="1" x14ac:dyDescent="0.3">
      <c r="A11" s="10"/>
      <c r="B11" s="46"/>
      <c r="C11" s="46"/>
      <c r="D11" s="46"/>
      <c r="E11" s="46"/>
      <c r="F11" s="46"/>
      <c r="G11" s="46"/>
      <c r="H11" s="63"/>
      <c r="I11" s="46"/>
      <c r="J11" s="46"/>
      <c r="K11" s="46"/>
      <c r="L11" s="64"/>
      <c r="M11" s="46"/>
      <c r="N11" s="46"/>
      <c r="O11" s="23"/>
      <c r="P11" s="23"/>
      <c r="Q11" s="23"/>
      <c r="R11" s="23"/>
      <c r="S11" s="23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</row>
    <row r="12" spans="1:111" s="2" customFormat="1" ht="15.75" thickBot="1" x14ac:dyDescent="0.3">
      <c r="A12" s="10"/>
      <c r="B12" s="46"/>
      <c r="C12" s="46"/>
      <c r="D12" s="46"/>
      <c r="E12" s="55"/>
      <c r="F12" s="65" t="s">
        <v>25</v>
      </c>
      <c r="G12" s="65" t="s">
        <v>26</v>
      </c>
      <c r="H12" s="65" t="s">
        <v>37</v>
      </c>
      <c r="I12" s="66" t="s">
        <v>27</v>
      </c>
      <c r="K12" s="46"/>
      <c r="L12" s="67"/>
      <c r="M12" s="46"/>
      <c r="N12" s="46"/>
      <c r="O12" s="23"/>
      <c r="P12" s="23"/>
      <c r="Q12" s="23"/>
      <c r="R12" s="23"/>
      <c r="S12" s="23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</row>
    <row r="13" spans="1:111" s="2" customFormat="1" ht="15" x14ac:dyDescent="0.25">
      <c r="A13" s="10"/>
      <c r="B13" s="46"/>
      <c r="C13" s="46"/>
      <c r="D13" s="46"/>
      <c r="E13" s="68" t="s">
        <v>28</v>
      </c>
      <c r="F13" s="103">
        <f>J6/I6*10000</f>
        <v>1688.8585488078947</v>
      </c>
      <c r="G13" s="104">
        <f>1-D45</f>
        <v>0.23795350534366166</v>
      </c>
      <c r="H13" s="104">
        <f>1-EXP(-F6/10000/(1-Recovery))</f>
        <v>7.9955585370676707E-2</v>
      </c>
      <c r="I13" s="105">
        <f>G13</f>
        <v>0.23795350534366166</v>
      </c>
      <c r="K13" s="46"/>
      <c r="L13" s="67"/>
      <c r="M13" s="46"/>
      <c r="N13" s="46"/>
      <c r="O13" s="23"/>
      <c r="P13" s="23"/>
      <c r="Q13" s="23"/>
      <c r="R13" s="23"/>
      <c r="S13" s="23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</row>
    <row r="14" spans="1:111" s="2" customFormat="1" ht="15" x14ac:dyDescent="0.25">
      <c r="A14" s="10"/>
      <c r="B14" s="46"/>
      <c r="C14" s="46"/>
      <c r="D14" s="46"/>
      <c r="E14" s="69" t="s">
        <v>29</v>
      </c>
      <c r="F14" s="106">
        <f>J7/I7*10000</f>
        <v>1143.7033963833226</v>
      </c>
      <c r="G14" s="107">
        <f>1-D65</f>
        <v>0.298225329245973</v>
      </c>
      <c r="H14" s="107">
        <f>EXP(-F6/10000/(1-Recovery))-EXP(-2*F7/10000/(1-Recovery))</f>
        <v>7.3562689738709275E-2</v>
      </c>
      <c r="I14" s="108">
        <f>G14-G13</f>
        <v>6.0271823902311339E-2</v>
      </c>
      <c r="K14" s="46"/>
      <c r="L14" s="67"/>
      <c r="M14" s="46"/>
      <c r="N14" s="46"/>
      <c r="O14" s="23"/>
      <c r="P14" s="23"/>
      <c r="Q14" s="23"/>
      <c r="R14" s="23"/>
      <c r="S14" s="23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</row>
    <row r="15" spans="1:111" s="2" customFormat="1" ht="15" x14ac:dyDescent="0.25">
      <c r="A15" s="10"/>
      <c r="B15" s="46"/>
      <c r="C15" s="46"/>
      <c r="D15" s="46"/>
      <c r="E15" s="69" t="s">
        <v>30</v>
      </c>
      <c r="F15" s="106">
        <f>J8/I8*10000</f>
        <v>953.92483349792599</v>
      </c>
      <c r="G15" s="107">
        <f>1-D85</f>
        <v>0.35373013068707715</v>
      </c>
      <c r="H15" s="107">
        <f>EXP(-2*F7/10000/(1-Recovery))-EXP(-3*F8/10000/(1-Recovery))</f>
        <v>6.7680941819209139E-2</v>
      </c>
      <c r="I15" s="108">
        <f>G15-G14</f>
        <v>5.5504801441104146E-2</v>
      </c>
      <c r="K15" s="46"/>
      <c r="L15" s="46"/>
      <c r="M15" s="46"/>
      <c r="N15" s="46"/>
      <c r="O15" s="36"/>
      <c r="P15" s="36"/>
      <c r="Q15" s="36"/>
      <c r="R15" s="36"/>
      <c r="S15" s="36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</row>
    <row r="16" spans="1:111" s="2" customFormat="1" ht="15" x14ac:dyDescent="0.25">
      <c r="A16" s="10"/>
      <c r="B16" s="46"/>
      <c r="C16" s="46"/>
      <c r="D16" s="46"/>
      <c r="E16" s="69" t="s">
        <v>31</v>
      </c>
      <c r="F16" s="106">
        <f>J9/I9*10000</f>
        <v>857.75823291933852</v>
      </c>
      <c r="G16" s="107">
        <f>1-D105</f>
        <v>0.40484494327362741</v>
      </c>
      <c r="H16" s="107">
        <f>EXP(-3*F8/10000/(1-Recovery))-EXP(-4*F9/10000/(1-Recovery))</f>
        <v>6.2269472497615608E-2</v>
      </c>
      <c r="I16" s="108">
        <f>G16-G15</f>
        <v>5.1114812586550262E-2</v>
      </c>
      <c r="K16" s="46"/>
      <c r="L16" s="46"/>
      <c r="M16" s="46"/>
      <c r="N16" s="46"/>
      <c r="O16" s="36"/>
      <c r="P16" s="36"/>
      <c r="Q16" s="36"/>
      <c r="R16" s="36"/>
      <c r="S16" s="36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</row>
    <row r="17" spans="1:111" s="2" customFormat="1" ht="15.75" thickBot="1" x14ac:dyDescent="0.3">
      <c r="A17" s="10"/>
      <c r="B17" s="46"/>
      <c r="C17" s="46"/>
      <c r="D17" s="46"/>
      <c r="E17" s="59" t="s">
        <v>32</v>
      </c>
      <c r="F17" s="109">
        <f>J10/I10*10000</f>
        <v>799.84135666222892</v>
      </c>
      <c r="G17" s="110">
        <f>1-D125</f>
        <v>0.45191698024921634</v>
      </c>
      <c r="H17" s="110">
        <f>EXP(-4*F9/10000/(1-Recovery))-EXP(-5*F10/10000/(1-Recovery))</f>
        <v>5.7290680373345504E-2</v>
      </c>
      <c r="I17" s="111">
        <f>G17-G16</f>
        <v>4.7072036975588927E-2</v>
      </c>
      <c r="K17" s="46"/>
      <c r="L17" s="46"/>
      <c r="M17" s="46"/>
      <c r="N17" s="46"/>
      <c r="O17" s="36"/>
      <c r="P17" s="36"/>
      <c r="Q17" s="36"/>
      <c r="R17" s="36"/>
      <c r="S17" s="36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</row>
    <row r="18" spans="1:111" s="2" customFormat="1" x14ac:dyDescent="0.2">
      <c r="A18" s="10"/>
      <c r="B18" s="43"/>
      <c r="C18" s="45"/>
      <c r="D18" s="45"/>
      <c r="E18" s="45"/>
      <c r="F18" s="45"/>
      <c r="G18" s="45"/>
      <c r="H18" s="45"/>
      <c r="I18" s="45"/>
      <c r="J18" s="45"/>
      <c r="K18" s="16"/>
      <c r="L18" s="36"/>
      <c r="M18" s="36"/>
      <c r="N18" s="36"/>
      <c r="O18" s="36"/>
      <c r="P18" s="36"/>
      <c r="Q18" s="36"/>
      <c r="R18" s="36"/>
      <c r="S18" s="36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</row>
    <row r="19" spans="1:111" s="2" customFormat="1" x14ac:dyDescent="0.2">
      <c r="A19" s="10"/>
      <c r="B19" s="43"/>
      <c r="C19" s="45"/>
      <c r="D19" s="45"/>
      <c r="E19" s="45"/>
      <c r="F19" s="45"/>
      <c r="G19" s="45"/>
      <c r="H19" s="45"/>
      <c r="I19" s="45"/>
      <c r="J19" s="45"/>
      <c r="K19" s="16"/>
      <c r="L19" s="36"/>
      <c r="M19" s="36"/>
      <c r="N19" s="36"/>
      <c r="O19" s="36"/>
      <c r="P19" s="36"/>
      <c r="Q19" s="36"/>
      <c r="R19" s="36"/>
      <c r="S19" s="36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</row>
    <row r="20" spans="1:111" s="2" customFormat="1" x14ac:dyDescent="0.2">
      <c r="A20" s="10"/>
      <c r="B20" s="43"/>
      <c r="C20" s="45"/>
      <c r="D20" s="45"/>
      <c r="E20" s="45"/>
      <c r="F20" s="45"/>
      <c r="G20" s="45"/>
      <c r="H20" s="45"/>
      <c r="I20" s="45"/>
      <c r="J20" s="45"/>
      <c r="K20" s="16"/>
      <c r="L20" s="36"/>
      <c r="M20" s="36"/>
      <c r="N20" s="36"/>
      <c r="O20" s="36"/>
      <c r="P20" s="36"/>
      <c r="Q20" s="36"/>
      <c r="R20" s="36"/>
      <c r="S20" s="36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</row>
    <row r="21" spans="1:111" s="2" customFormat="1" x14ac:dyDescent="0.2">
      <c r="A21" s="10"/>
      <c r="B21" s="38"/>
      <c r="C21" s="42"/>
      <c r="D21" s="42"/>
      <c r="E21" s="42"/>
      <c r="F21" s="42"/>
      <c r="G21" s="41"/>
      <c r="H21" s="41"/>
      <c r="I21" s="41"/>
      <c r="J21" s="10"/>
      <c r="K21" s="16"/>
      <c r="L21" s="36"/>
      <c r="M21" s="36"/>
      <c r="N21" s="36"/>
      <c r="O21" s="36"/>
      <c r="P21" s="36"/>
      <c r="Q21" s="36"/>
      <c r="R21" s="36"/>
      <c r="S21" s="36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</row>
    <row r="22" spans="1:111" s="2" customFormat="1" x14ac:dyDescent="0.2">
      <c r="A22" s="10"/>
      <c r="B22" s="43"/>
      <c r="C22" s="43"/>
      <c r="D22" s="43"/>
      <c r="E22" s="43"/>
      <c r="F22" s="43"/>
      <c r="G22" s="43"/>
      <c r="H22" s="43"/>
      <c r="I22" s="43"/>
      <c r="J22" s="43"/>
      <c r="K22" s="16"/>
      <c r="L22" s="36"/>
      <c r="M22" s="36"/>
      <c r="N22" s="36"/>
      <c r="O22" s="36"/>
      <c r="P22" s="36"/>
      <c r="Q22" s="36"/>
      <c r="R22" s="36"/>
      <c r="S22" s="36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</row>
    <row r="23" spans="1:111" s="2" customFormat="1" ht="13.5" thickBot="1" x14ac:dyDescent="0.25">
      <c r="A23" s="10"/>
      <c r="B23" s="43"/>
      <c r="C23" s="45"/>
      <c r="D23" s="45"/>
      <c r="E23" s="45"/>
      <c r="F23" s="45"/>
      <c r="G23" s="45"/>
      <c r="H23" s="45"/>
      <c r="I23" s="45"/>
      <c r="J23" s="45"/>
      <c r="K23" s="16"/>
      <c r="L23" s="36"/>
      <c r="M23" s="36"/>
      <c r="N23" s="36"/>
      <c r="O23" s="36"/>
      <c r="P23" s="36"/>
      <c r="Q23" s="36"/>
      <c r="R23" s="36"/>
      <c r="S23" s="36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</row>
    <row r="24" spans="1:111" s="2" customFormat="1" ht="15.75" thickBot="1" x14ac:dyDescent="0.3">
      <c r="A24" s="10"/>
      <c r="B24" s="47"/>
      <c r="C24" s="70" t="s">
        <v>33</v>
      </c>
      <c r="D24" s="71" t="s">
        <v>40</v>
      </c>
      <c r="E24" s="70" t="s">
        <v>38</v>
      </c>
      <c r="F24" s="72" t="s">
        <v>39</v>
      </c>
      <c r="G24" s="51" t="s">
        <v>34</v>
      </c>
      <c r="H24" s="72" t="s">
        <v>35</v>
      </c>
      <c r="I24" s="72" t="s">
        <v>36</v>
      </c>
      <c r="J24" s="73"/>
      <c r="K24" s="67"/>
      <c r="L24" s="80"/>
      <c r="N24" s="36"/>
      <c r="O24" s="36"/>
      <c r="P24" s="36"/>
      <c r="Q24" s="36"/>
      <c r="R24" s="36"/>
      <c r="S24" s="36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</row>
    <row r="25" spans="1:111" s="2" customFormat="1" ht="15" x14ac:dyDescent="0.25">
      <c r="A25" s="10"/>
      <c r="B25" s="138">
        <v>0</v>
      </c>
      <c r="C25" s="139">
        <f t="shared" ref="C25:C56" si="0">EXP(-IRate*B25)</f>
        <v>1</v>
      </c>
      <c r="D25" s="140">
        <v>1</v>
      </c>
      <c r="E25" s="139">
        <f t="shared" ref="E25:E88" si="1">1-D25</f>
        <v>0</v>
      </c>
      <c r="F25" s="141"/>
      <c r="G25" s="142"/>
      <c r="H25" s="141"/>
      <c r="I25" s="141"/>
      <c r="J25" s="143"/>
      <c r="K25" s="45"/>
      <c r="L25" s="45"/>
      <c r="N25" s="36"/>
      <c r="O25" s="36"/>
      <c r="P25" s="36"/>
      <c r="Q25" s="36"/>
      <c r="R25" s="36"/>
      <c r="S25" s="36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</row>
    <row r="26" spans="1:111" s="2" customFormat="1" ht="15" x14ac:dyDescent="0.25">
      <c r="A26" s="10"/>
      <c r="B26" s="74">
        <f t="shared" ref="B26:B89" si="2">B25+0.05</f>
        <v>0.05</v>
      </c>
      <c r="C26" s="75">
        <f t="shared" si="0"/>
        <v>0.99950012497916929</v>
      </c>
      <c r="D26" s="76">
        <f t="shared" ref="D26:D45" si="3">D25*EXP(-0.05*HazardRate1)</f>
        <v>0.98650450643313869</v>
      </c>
      <c r="E26" s="75">
        <f t="shared" si="1"/>
        <v>1.3495493566861305E-2</v>
      </c>
      <c r="F26" s="77">
        <f t="shared" ref="F26:F57" si="4">D25-D26</f>
        <v>1.3495493566861305E-2</v>
      </c>
      <c r="G26" s="76"/>
      <c r="H26" s="78">
        <f t="shared" ref="H26:H57" si="5">F26*C26*(1-Recovery)</f>
        <v>8.0932485040400692E-3</v>
      </c>
      <c r="I26" s="78">
        <v>0.05</v>
      </c>
      <c r="J26" s="79">
        <f>I26*F26</f>
        <v>6.7477467834306526E-4</v>
      </c>
      <c r="K26" s="45"/>
      <c r="L26" s="45"/>
      <c r="N26" s="36"/>
      <c r="O26" s="36"/>
      <c r="P26" s="36"/>
      <c r="Q26" s="36"/>
      <c r="R26" s="36"/>
      <c r="S26" s="36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</row>
    <row r="27" spans="1:111" s="2" customFormat="1" ht="15" x14ac:dyDescent="0.25">
      <c r="A27" s="10"/>
      <c r="B27" s="74">
        <f t="shared" si="2"/>
        <v>0.1</v>
      </c>
      <c r="C27" s="75">
        <f t="shared" si="0"/>
        <v>0.99900049983337502</v>
      </c>
      <c r="D27" s="76">
        <f t="shared" si="3"/>
        <v>0.97319114121289063</v>
      </c>
      <c r="E27" s="75">
        <f t="shared" si="1"/>
        <v>2.6808858787109369E-2</v>
      </c>
      <c r="F27" s="77">
        <f t="shared" si="4"/>
        <v>1.3313365220248063E-2</v>
      </c>
      <c r="G27" s="76"/>
      <c r="H27" s="78">
        <f t="shared" si="5"/>
        <v>7.9800351056952511E-3</v>
      </c>
      <c r="I27" s="78">
        <f>I26+0.05</f>
        <v>0.1</v>
      </c>
      <c r="J27" s="79">
        <f>I27*F27</f>
        <v>1.3313365220248064E-3</v>
      </c>
      <c r="K27" s="45"/>
      <c r="L27" s="45"/>
      <c r="N27" s="36"/>
      <c r="O27" s="36"/>
      <c r="P27" s="36"/>
      <c r="Q27" s="36"/>
      <c r="R27" s="36"/>
      <c r="S27" s="36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</row>
    <row r="28" spans="1:111" s="2" customFormat="1" ht="15" x14ac:dyDescent="0.25">
      <c r="A28" s="10"/>
      <c r="B28" s="74">
        <f t="shared" si="2"/>
        <v>0.15000000000000002</v>
      </c>
      <c r="C28" s="75">
        <f t="shared" si="0"/>
        <v>0.99850112443771089</v>
      </c>
      <c r="D28" s="76">
        <f t="shared" si="3"/>
        <v>0.9600574464273256</v>
      </c>
      <c r="E28" s="75">
        <f t="shared" si="1"/>
        <v>3.99425535726744E-2</v>
      </c>
      <c r="F28" s="77">
        <f t="shared" si="4"/>
        <v>1.3133694785565031E-2</v>
      </c>
      <c r="G28" s="76"/>
      <c r="H28" s="78">
        <f t="shared" si="5"/>
        <v>7.8684054068450301E-3</v>
      </c>
      <c r="I28" s="78">
        <f t="shared" ref="I28:I91" si="6">I27+0.05</f>
        <v>0.15000000000000002</v>
      </c>
      <c r="J28" s="79">
        <f>I28*F28</f>
        <v>1.9700542178347547E-3</v>
      </c>
      <c r="K28" s="45"/>
      <c r="L28" s="45"/>
      <c r="N28" s="36"/>
      <c r="O28" s="36"/>
      <c r="P28" s="36"/>
      <c r="Q28" s="36"/>
      <c r="R28" s="36"/>
      <c r="S28" s="36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</row>
    <row r="29" spans="1:111" s="2" customFormat="1" ht="15" x14ac:dyDescent="0.25">
      <c r="A29" s="10"/>
      <c r="B29" s="74">
        <f t="shared" si="2"/>
        <v>0.2</v>
      </c>
      <c r="C29" s="75">
        <f t="shared" si="0"/>
        <v>0.99800199866733308</v>
      </c>
      <c r="D29" s="76">
        <f t="shared" si="3"/>
        <v>0.94710099733524833</v>
      </c>
      <c r="E29" s="75">
        <f t="shared" si="1"/>
        <v>5.2899002664751671E-2</v>
      </c>
      <c r="F29" s="77">
        <f t="shared" si="4"/>
        <v>1.2956449092077271E-2</v>
      </c>
      <c r="G29" s="76"/>
      <c r="H29" s="78">
        <f t="shared" si="5"/>
        <v>7.7583372537148015E-3</v>
      </c>
      <c r="I29" s="78">
        <f t="shared" si="6"/>
        <v>0.2</v>
      </c>
      <c r="J29" s="79">
        <f>I29*F29</f>
        <v>2.5912898184154544E-3</v>
      </c>
      <c r="K29" s="45"/>
      <c r="L29" s="45"/>
      <c r="N29" s="36"/>
      <c r="O29" s="36"/>
      <c r="P29" s="36"/>
      <c r="Q29" s="36"/>
      <c r="R29" s="36"/>
      <c r="S29" s="36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</row>
    <row r="30" spans="1:111" s="2" customFormat="1" ht="15" x14ac:dyDescent="0.25">
      <c r="A30" s="10"/>
      <c r="B30" s="74">
        <f t="shared" si="2"/>
        <v>0.25</v>
      </c>
      <c r="C30" s="75">
        <f t="shared" si="0"/>
        <v>0.99750312239746008</v>
      </c>
      <c r="D30" s="76">
        <f t="shared" si="3"/>
        <v>0.93431940191854257</v>
      </c>
      <c r="E30" s="75">
        <f t="shared" si="1"/>
        <v>6.5680598081457431E-2</v>
      </c>
      <c r="F30" s="77">
        <f t="shared" si="4"/>
        <v>1.278159541670576E-2</v>
      </c>
      <c r="G30" s="76">
        <f>C30*D30*0.25</f>
        <v>0.23299663018256841</v>
      </c>
      <c r="H30" s="78">
        <f t="shared" si="5"/>
        <v>7.6498088024310358E-3</v>
      </c>
      <c r="I30" s="78">
        <v>0</v>
      </c>
      <c r="J30" s="79">
        <f>I30*F30</f>
        <v>0</v>
      </c>
      <c r="K30" s="45"/>
      <c r="L30" s="45"/>
      <c r="N30" s="36"/>
      <c r="O30" s="36"/>
      <c r="P30" s="36"/>
      <c r="Q30" s="36"/>
      <c r="R30" s="36"/>
      <c r="S30" s="36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</row>
    <row r="31" spans="1:111" s="2" customFormat="1" ht="15" x14ac:dyDescent="0.25">
      <c r="A31" s="10"/>
      <c r="B31" s="74">
        <f t="shared" si="2"/>
        <v>0.3</v>
      </c>
      <c r="C31" s="75">
        <f t="shared" si="0"/>
        <v>0.997004495503373</v>
      </c>
      <c r="D31" s="76">
        <f t="shared" si="3"/>
        <v>0.92171030044055713</v>
      </c>
      <c r="E31" s="75">
        <f t="shared" si="1"/>
        <v>7.8289699559442871E-2</v>
      </c>
      <c r="F31" s="77">
        <f t="shared" si="4"/>
        <v>1.260910147798544E-2</v>
      </c>
      <c r="G31" s="76"/>
      <c r="H31" s="78">
        <f t="shared" si="5"/>
        <v>7.5427985146858251E-3</v>
      </c>
      <c r="I31" s="78">
        <f t="shared" si="6"/>
        <v>0.05</v>
      </c>
      <c r="J31" s="79">
        <f t="shared" ref="J31:J94" si="7">I31*F31</f>
        <v>6.3045507389927204E-4</v>
      </c>
      <c r="K31" s="45"/>
      <c r="L31" s="45"/>
      <c r="N31" s="36"/>
      <c r="O31" s="36"/>
      <c r="P31" s="36"/>
      <c r="Q31" s="36"/>
      <c r="R31" s="36"/>
      <c r="S31" s="36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</row>
    <row r="32" spans="1:111" s="2" customFormat="1" ht="15" x14ac:dyDescent="0.25">
      <c r="A32" s="10"/>
      <c r="B32" s="74">
        <f t="shared" si="2"/>
        <v>0.35</v>
      </c>
      <c r="C32" s="75">
        <f t="shared" si="0"/>
        <v>0.99650611786041488</v>
      </c>
      <c r="D32" s="76">
        <f t="shared" si="3"/>
        <v>0.9092713650104518</v>
      </c>
      <c r="E32" s="75">
        <f t="shared" si="1"/>
        <v>9.0728634989548196E-2</v>
      </c>
      <c r="F32" s="77">
        <f t="shared" si="4"/>
        <v>1.2438935430105325E-2</v>
      </c>
      <c r="G32" s="76"/>
      <c r="H32" s="78">
        <f t="shared" si="5"/>
        <v>7.4372851534623757E-3</v>
      </c>
      <c r="I32" s="78">
        <f t="shared" si="6"/>
        <v>0.1</v>
      </c>
      <c r="J32" s="79">
        <f t="shared" si="7"/>
        <v>1.2438935430105326E-3</v>
      </c>
      <c r="K32" s="45"/>
      <c r="L32" s="45"/>
      <c r="N32" s="36"/>
      <c r="O32" s="36"/>
      <c r="P32" s="36"/>
      <c r="Q32" s="36"/>
      <c r="R32" s="36"/>
      <c r="S32" s="36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</row>
    <row r="33" spans="1:111" s="2" customFormat="1" ht="15" x14ac:dyDescent="0.25">
      <c r="A33" s="10"/>
      <c r="B33" s="74">
        <f t="shared" si="2"/>
        <v>0.39999999999999997</v>
      </c>
      <c r="C33" s="75">
        <f t="shared" si="0"/>
        <v>0.99600798934399148</v>
      </c>
      <c r="D33" s="76">
        <f t="shared" si="3"/>
        <v>0.89700029915342205</v>
      </c>
      <c r="E33" s="75">
        <f t="shared" si="1"/>
        <v>0.10299970084657795</v>
      </c>
      <c r="F33" s="77">
        <f t="shared" si="4"/>
        <v>1.227106585702975E-2</v>
      </c>
      <c r="G33" s="76"/>
      <c r="H33" s="78">
        <f t="shared" si="5"/>
        <v>7.3332477788207433E-3</v>
      </c>
      <c r="I33" s="78">
        <f t="shared" si="6"/>
        <v>0.15000000000000002</v>
      </c>
      <c r="J33" s="79">
        <f t="shared" si="7"/>
        <v>1.8406598785544628E-3</v>
      </c>
      <c r="K33" s="45"/>
      <c r="L33" s="45"/>
      <c r="N33" s="36"/>
      <c r="O33" s="36"/>
      <c r="P33" s="36"/>
      <c r="Q33" s="36"/>
      <c r="R33" s="36"/>
      <c r="S33" s="36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</row>
    <row r="34" spans="1:111" s="2" customFormat="1" ht="15" x14ac:dyDescent="0.25">
      <c r="A34" s="10"/>
      <c r="B34" s="74">
        <f t="shared" si="2"/>
        <v>0.44999999999999996</v>
      </c>
      <c r="C34" s="75">
        <f t="shared" si="0"/>
        <v>0.99551010982957056</v>
      </c>
      <c r="D34" s="76">
        <f t="shared" si="3"/>
        <v>0.88489483738672436</v>
      </c>
      <c r="E34" s="75">
        <f t="shared" si="1"/>
        <v>0.11510516261327564</v>
      </c>
      <c r="F34" s="77">
        <f t="shared" si="4"/>
        <v>1.2105461766697689E-2</v>
      </c>
      <c r="G34" s="76"/>
      <c r="H34" s="78">
        <f t="shared" si="5"/>
        <v>7.2306657437417304E-3</v>
      </c>
      <c r="I34" s="78">
        <f t="shared" si="6"/>
        <v>0.2</v>
      </c>
      <c r="J34" s="79">
        <f t="shared" si="7"/>
        <v>2.4210923533395379E-3</v>
      </c>
      <c r="K34" s="45"/>
      <c r="L34" s="45"/>
      <c r="N34" s="36"/>
      <c r="O34" s="36"/>
      <c r="P34" s="36"/>
      <c r="Q34" s="36"/>
      <c r="R34" s="36"/>
      <c r="S34" s="36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</row>
    <row r="35" spans="1:111" s="2" customFormat="1" ht="15" x14ac:dyDescent="0.25">
      <c r="A35" s="10"/>
      <c r="B35" s="74">
        <f t="shared" si="2"/>
        <v>0.49999999999999994</v>
      </c>
      <c r="C35" s="75">
        <f t="shared" si="0"/>
        <v>0.99501247919268232</v>
      </c>
      <c r="D35" s="76">
        <f>D34*EXP(-0.05*HazardRate1)</f>
        <v>0.87295274480142304</v>
      </c>
      <c r="E35" s="75">
        <f t="shared" si="1"/>
        <v>0.12704725519857696</v>
      </c>
      <c r="F35" s="77">
        <f t="shared" si="4"/>
        <v>1.1942092585301323E-2</v>
      </c>
      <c r="G35" s="76">
        <f>C35*D35*0.25</f>
        <v>0.21714971870573022</v>
      </c>
      <c r="H35" s="78">
        <f t="shared" si="5"/>
        <v>7.1295186900295305E-3</v>
      </c>
      <c r="I35" s="78">
        <v>0</v>
      </c>
      <c r="J35" s="79">
        <f t="shared" si="7"/>
        <v>0</v>
      </c>
      <c r="K35" s="45"/>
      <c r="L35" s="45"/>
      <c r="N35" s="36"/>
      <c r="O35" s="36"/>
      <c r="P35" s="36"/>
      <c r="Q35" s="36"/>
      <c r="R35" s="36"/>
      <c r="S35" s="36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</row>
    <row r="36" spans="1:111" s="2" customFormat="1" ht="15" x14ac:dyDescent="0.25">
      <c r="A36" s="10"/>
      <c r="B36" s="74">
        <f t="shared" si="2"/>
        <v>0.54999999999999993</v>
      </c>
      <c r="C36" s="75">
        <f t="shared" si="0"/>
        <v>0.99451509730891907</v>
      </c>
      <c r="D36" s="76">
        <f t="shared" si="3"/>
        <v>0.86117181664978149</v>
      </c>
      <c r="E36" s="75">
        <f t="shared" si="1"/>
        <v>0.13882818335021851</v>
      </c>
      <c r="F36" s="77">
        <f t="shared" si="4"/>
        <v>1.1780928151641556E-2</v>
      </c>
      <c r="G36" s="76"/>
      <c r="H36" s="78">
        <f t="shared" si="5"/>
        <v>7.0297865442715112E-3</v>
      </c>
      <c r="I36" s="78">
        <f t="shared" si="6"/>
        <v>0.05</v>
      </c>
      <c r="J36" s="79">
        <f t="shared" si="7"/>
        <v>5.8904640758207787E-4</v>
      </c>
      <c r="K36" s="45"/>
      <c r="L36" s="45"/>
      <c r="N36" s="36"/>
      <c r="O36" s="36"/>
      <c r="P36" s="36"/>
      <c r="Q36" s="36"/>
      <c r="R36" s="36"/>
      <c r="S36" s="36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</row>
    <row r="37" spans="1:111" s="2" customFormat="1" ht="15" x14ac:dyDescent="0.25">
      <c r="A37" s="10"/>
      <c r="B37" s="74">
        <f t="shared" si="2"/>
        <v>0.6</v>
      </c>
      <c r="C37" s="75">
        <f t="shared" si="0"/>
        <v>0.99401796405393528</v>
      </c>
      <c r="D37" s="76">
        <f t="shared" si="3"/>
        <v>0.84954987793822212</v>
      </c>
      <c r="E37" s="75">
        <f t="shared" si="1"/>
        <v>0.15045012206177788</v>
      </c>
      <c r="F37" s="77">
        <f t="shared" si="4"/>
        <v>1.1621938711559365E-2</v>
      </c>
      <c r="G37" s="76"/>
      <c r="H37" s="78">
        <f t="shared" si="5"/>
        <v>6.9314495138543134E-3</v>
      </c>
      <c r="I37" s="78">
        <f t="shared" si="6"/>
        <v>0.1</v>
      </c>
      <c r="J37" s="79">
        <f t="shared" si="7"/>
        <v>1.1621938711559366E-3</v>
      </c>
      <c r="K37" s="45"/>
      <c r="L37" s="45"/>
      <c r="N37" s="36"/>
      <c r="O37" s="36"/>
      <c r="P37" s="36"/>
      <c r="Q37" s="36"/>
      <c r="R37" s="36"/>
      <c r="S37" s="36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</row>
    <row r="38" spans="1:111" s="2" customFormat="1" ht="15" x14ac:dyDescent="0.25">
      <c r="A38" s="10"/>
      <c r="B38" s="74">
        <f t="shared" si="2"/>
        <v>0.65</v>
      </c>
      <c r="C38" s="75">
        <f t="shared" si="0"/>
        <v>0.99352107930344769</v>
      </c>
      <c r="D38" s="76">
        <f t="shared" si="3"/>
        <v>0.83808478302577905</v>
      </c>
      <c r="E38" s="75">
        <f t="shared" si="1"/>
        <v>0.16191521697422095</v>
      </c>
      <c r="F38" s="77">
        <f t="shared" si="4"/>
        <v>1.1465094912443075E-2</v>
      </c>
      <c r="G38" s="76"/>
      <c r="H38" s="78">
        <f t="shared" si="5"/>
        <v>6.8344880830361462E-3</v>
      </c>
      <c r="I38" s="78">
        <f t="shared" si="6"/>
        <v>0.15000000000000002</v>
      </c>
      <c r="J38" s="79">
        <f t="shared" si="7"/>
        <v>1.7197642368664615E-3</v>
      </c>
      <c r="K38" s="45"/>
      <c r="L38" s="45"/>
      <c r="N38" s="36"/>
      <c r="O38" s="36"/>
      <c r="P38" s="36"/>
      <c r="Q38" s="36"/>
      <c r="R38" s="36"/>
      <c r="S38" s="36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</row>
    <row r="39" spans="1:111" s="2" customFormat="1" ht="15" x14ac:dyDescent="0.25">
      <c r="A39" s="10"/>
      <c r="B39" s="74">
        <f t="shared" si="2"/>
        <v>0.70000000000000007</v>
      </c>
      <c r="C39" s="75">
        <f t="shared" si="0"/>
        <v>0.99302444293323511</v>
      </c>
      <c r="D39" s="76">
        <f t="shared" si="3"/>
        <v>0.82677441522797024</v>
      </c>
      <c r="E39" s="75">
        <f t="shared" si="1"/>
        <v>0.17322558477202976</v>
      </c>
      <c r="F39" s="77">
        <f t="shared" si="4"/>
        <v>1.1310367797808807E-2</v>
      </c>
      <c r="G39" s="76"/>
      <c r="H39" s="78">
        <f t="shared" si="5"/>
        <v>6.7388830090734549E-3</v>
      </c>
      <c r="I39" s="78">
        <f t="shared" si="6"/>
        <v>0.2</v>
      </c>
      <c r="J39" s="79">
        <f t="shared" si="7"/>
        <v>2.2620735595617614E-3</v>
      </c>
      <c r="K39" s="45"/>
      <c r="L39" s="45"/>
      <c r="N39" s="36"/>
      <c r="O39" s="36"/>
      <c r="P39" s="36"/>
      <c r="Q39" s="36"/>
      <c r="R39" s="36"/>
      <c r="S39" s="36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</row>
    <row r="40" spans="1:111" s="2" customFormat="1" ht="15" x14ac:dyDescent="0.25">
      <c r="A40" s="10"/>
      <c r="B40" s="74">
        <f t="shared" si="2"/>
        <v>0.75000000000000011</v>
      </c>
      <c r="C40" s="75">
        <f t="shared" si="0"/>
        <v>0.99252805481913842</v>
      </c>
      <c r="D40" s="76">
        <f t="shared" si="3"/>
        <v>0.8156166864260157</v>
      </c>
      <c r="E40" s="75">
        <f t="shared" si="1"/>
        <v>0.1843833135739843</v>
      </c>
      <c r="F40" s="77">
        <f t="shared" si="4"/>
        <v>1.1157728801954536E-2</v>
      </c>
      <c r="G40" s="76">
        <f>C40*D40*0.25</f>
        <v>0.20238061081411113</v>
      </c>
      <c r="H40" s="78">
        <f t="shared" si="5"/>
        <v>6.6446153184020465E-3</v>
      </c>
      <c r="I40" s="78">
        <v>0</v>
      </c>
      <c r="J40" s="79">
        <f t="shared" si="7"/>
        <v>0</v>
      </c>
      <c r="K40" s="45"/>
      <c r="L40" s="45"/>
      <c r="N40" s="36"/>
      <c r="O40" s="36"/>
      <c r="P40" s="36"/>
      <c r="Q40" s="36"/>
      <c r="R40" s="36"/>
      <c r="S40" s="36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</row>
    <row r="41" spans="1:111" s="2" customFormat="1" ht="15" x14ac:dyDescent="0.25">
      <c r="A41" s="10"/>
      <c r="B41" s="74">
        <f t="shared" si="2"/>
        <v>0.80000000000000016</v>
      </c>
      <c r="C41" s="75">
        <f t="shared" si="0"/>
        <v>0.99203191483706066</v>
      </c>
      <c r="D41" s="76">
        <f t="shared" si="3"/>
        <v>0.80460953668132862</v>
      </c>
      <c r="E41" s="75">
        <f t="shared" si="1"/>
        <v>0.19539046331867138</v>
      </c>
      <c r="F41" s="77">
        <f t="shared" si="4"/>
        <v>1.1007149744687084E-2</v>
      </c>
      <c r="G41" s="76"/>
      <c r="H41" s="78">
        <f t="shared" si="5"/>
        <v>6.5516663028721139E-3</v>
      </c>
      <c r="I41" s="78">
        <f t="shared" si="6"/>
        <v>0.05</v>
      </c>
      <c r="J41" s="79">
        <f t="shared" si="7"/>
        <v>5.5035748723435422E-4</v>
      </c>
      <c r="K41" s="45"/>
      <c r="L41" s="45"/>
      <c r="N41" s="36"/>
      <c r="O41" s="36"/>
      <c r="P41" s="36"/>
      <c r="Q41" s="36"/>
      <c r="R41" s="36"/>
      <c r="S41" s="36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</row>
    <row r="42" spans="1:111" s="2" customFormat="1" ht="15" x14ac:dyDescent="0.25">
      <c r="A42" s="10"/>
      <c r="B42" s="74">
        <f t="shared" si="2"/>
        <v>0.8500000000000002</v>
      </c>
      <c r="C42" s="75">
        <f t="shared" si="0"/>
        <v>0.99153602286296671</v>
      </c>
      <c r="D42" s="76">
        <f t="shared" si="3"/>
        <v>0.79375093385521045</v>
      </c>
      <c r="E42" s="75">
        <f t="shared" si="1"/>
        <v>0.20624906614478955</v>
      </c>
      <c r="F42" s="77">
        <f t="shared" si="4"/>
        <v>1.0858602826118169E-2</v>
      </c>
      <c r="G42" s="76"/>
      <c r="H42" s="78">
        <f t="shared" si="5"/>
        <v>6.4600175160346674E-3</v>
      </c>
      <c r="I42" s="78">
        <f t="shared" si="6"/>
        <v>0.1</v>
      </c>
      <c r="J42" s="79">
        <f t="shared" si="7"/>
        <v>1.0858602826118169E-3</v>
      </c>
      <c r="K42" s="45"/>
      <c r="L42" s="45"/>
      <c r="N42" s="36"/>
      <c r="O42" s="36"/>
      <c r="P42" s="36"/>
      <c r="Q42" s="36"/>
      <c r="R42" s="36"/>
      <c r="S42" s="36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</row>
    <row r="43" spans="1:111" s="2" customFormat="1" ht="15" x14ac:dyDescent="0.25">
      <c r="A43" s="10"/>
      <c r="B43" s="74">
        <f t="shared" si="2"/>
        <v>0.90000000000000024</v>
      </c>
      <c r="C43" s="75">
        <f t="shared" si="0"/>
        <v>0.99104037877288365</v>
      </c>
      <c r="D43" s="76">
        <f t="shared" si="3"/>
        <v>0.78303887323367727</v>
      </c>
      <c r="E43" s="75">
        <f t="shared" si="1"/>
        <v>0.21696112676632273</v>
      </c>
      <c r="F43" s="77">
        <f t="shared" si="4"/>
        <v>1.0712060621533182E-2</v>
      </c>
      <c r="G43" s="76"/>
      <c r="H43" s="78">
        <f t="shared" si="5"/>
        <v>6.3696507694814015E-3</v>
      </c>
      <c r="I43" s="78">
        <f t="shared" si="6"/>
        <v>0.15000000000000002</v>
      </c>
      <c r="J43" s="79">
        <f t="shared" si="7"/>
        <v>1.6068090932299774E-3</v>
      </c>
      <c r="K43" s="45"/>
      <c r="L43" s="45"/>
      <c r="N43" s="36"/>
      <c r="O43" s="36"/>
      <c r="P43" s="36"/>
      <c r="Q43" s="36"/>
      <c r="R43" s="36"/>
      <c r="S43" s="36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</row>
    <row r="44" spans="1:111" s="2" customFormat="1" ht="15" x14ac:dyDescent="0.25">
      <c r="A44" s="10"/>
      <c r="B44" s="74">
        <f t="shared" si="2"/>
        <v>0.95000000000000029</v>
      </c>
      <c r="C44" s="75">
        <f t="shared" si="0"/>
        <v>0.99054498244290046</v>
      </c>
      <c r="D44" s="76">
        <f t="shared" si="3"/>
        <v>0.77247137715734981</v>
      </c>
      <c r="E44" s="75">
        <f t="shared" si="1"/>
        <v>0.22752862284265019</v>
      </c>
      <c r="F44" s="77">
        <f t="shared" si="4"/>
        <v>1.0567496076327454E-2</v>
      </c>
      <c r="G44" s="76"/>
      <c r="H44" s="78">
        <f t="shared" si="5"/>
        <v>6.2805481292347179E-3</v>
      </c>
      <c r="I44" s="78">
        <f t="shared" si="6"/>
        <v>0.2</v>
      </c>
      <c r="J44" s="79">
        <f t="shared" si="7"/>
        <v>2.1134992152654908E-3</v>
      </c>
      <c r="K44" s="45"/>
      <c r="L44" s="45"/>
      <c r="N44" s="36"/>
      <c r="O44" s="36"/>
      <c r="P44" s="36"/>
      <c r="Q44" s="36"/>
      <c r="R44" s="36"/>
      <c r="S44" s="36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</row>
    <row r="45" spans="1:111" s="2" customFormat="1" ht="15" x14ac:dyDescent="0.25">
      <c r="A45" s="10"/>
      <c r="B45" s="132">
        <f t="shared" si="2"/>
        <v>1.0000000000000002</v>
      </c>
      <c r="C45" s="133">
        <f t="shared" si="0"/>
        <v>0.99004983374916811</v>
      </c>
      <c r="D45" s="134">
        <f t="shared" si="3"/>
        <v>0.76204649465633834</v>
      </c>
      <c r="E45" s="133">
        <f t="shared" si="1"/>
        <v>0.23795350534366166</v>
      </c>
      <c r="F45" s="135">
        <f t="shared" si="4"/>
        <v>1.0424882501011479E-2</v>
      </c>
      <c r="G45" s="134">
        <f>C45*D45*0.25</f>
        <v>0.18861600133591103</v>
      </c>
      <c r="H45" s="136">
        <f t="shared" si="5"/>
        <v>6.1926919121886156E-3</v>
      </c>
      <c r="I45" s="136">
        <v>0</v>
      </c>
      <c r="J45" s="137">
        <f t="shared" si="7"/>
        <v>0</v>
      </c>
      <c r="K45" s="45"/>
      <c r="L45" s="45"/>
      <c r="N45" s="36"/>
      <c r="O45" s="36"/>
      <c r="P45" s="36"/>
      <c r="Q45" s="36"/>
      <c r="R45" s="36"/>
      <c r="S45" s="36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</row>
    <row r="46" spans="1:111" s="2" customFormat="1" ht="15" x14ac:dyDescent="0.25">
      <c r="A46" s="10"/>
      <c r="B46" s="74">
        <f t="shared" si="2"/>
        <v>1.0500000000000003</v>
      </c>
      <c r="C46" s="75">
        <f t="shared" si="0"/>
        <v>0.98955493256789917</v>
      </c>
      <c r="D46" s="76">
        <f t="shared" ref="D46:D65" si="8">D45*EXP(-0.05*HazardRate2)</f>
        <v>0.75891350401436375</v>
      </c>
      <c r="E46" s="75">
        <f t="shared" si="1"/>
        <v>0.24108649598563625</v>
      </c>
      <c r="F46" s="77">
        <f t="shared" si="4"/>
        <v>3.1329906419745868E-3</v>
      </c>
      <c r="G46" s="76"/>
      <c r="H46" s="78">
        <f t="shared" si="5"/>
        <v>1.8601598060730127E-3</v>
      </c>
      <c r="I46" s="78">
        <f t="shared" si="6"/>
        <v>0.05</v>
      </c>
      <c r="J46" s="79">
        <f t="shared" si="7"/>
        <v>1.5664953209872936E-4</v>
      </c>
      <c r="K46" s="45"/>
      <c r="L46" s="45"/>
      <c r="N46" s="36"/>
      <c r="O46" s="36"/>
      <c r="P46" s="36"/>
      <c r="Q46" s="36"/>
      <c r="R46" s="36"/>
      <c r="S46" s="36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</row>
    <row r="47" spans="1:111" s="2" customFormat="1" ht="15" x14ac:dyDescent="0.25">
      <c r="A47" s="10"/>
      <c r="B47" s="74">
        <f t="shared" si="2"/>
        <v>1.1000000000000003</v>
      </c>
      <c r="C47" s="75">
        <f t="shared" si="0"/>
        <v>0.98906027877536873</v>
      </c>
      <c r="D47" s="76">
        <f t="shared" si="8"/>
        <v>0.75579339399113288</v>
      </c>
      <c r="E47" s="75">
        <f t="shared" si="1"/>
        <v>0.24420660600886712</v>
      </c>
      <c r="F47" s="77">
        <f t="shared" si="4"/>
        <v>3.1201100232308709E-3</v>
      </c>
      <c r="G47" s="76"/>
      <c r="H47" s="78">
        <f t="shared" si="5"/>
        <v>1.8515861336319283E-3</v>
      </c>
      <c r="I47" s="78">
        <f t="shared" si="6"/>
        <v>0.1</v>
      </c>
      <c r="J47" s="79">
        <f t="shared" si="7"/>
        <v>3.1201100232308709E-4</v>
      </c>
      <c r="K47" s="45"/>
      <c r="L47" s="45"/>
      <c r="N47" s="36"/>
      <c r="O47" s="36"/>
      <c r="P47" s="36"/>
      <c r="Q47" s="36"/>
      <c r="R47" s="36"/>
      <c r="S47" s="36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</row>
    <row r="48" spans="1:111" s="2" customFormat="1" ht="15" x14ac:dyDescent="0.25">
      <c r="A48" s="10"/>
      <c r="B48" s="74">
        <f t="shared" si="2"/>
        <v>1.1500000000000004</v>
      </c>
      <c r="C48" s="75">
        <f t="shared" si="0"/>
        <v>0.98856587224791304</v>
      </c>
      <c r="D48" s="76">
        <f t="shared" si="8"/>
        <v>0.75268611163074572</v>
      </c>
      <c r="E48" s="75">
        <f t="shared" si="1"/>
        <v>0.24731388836925428</v>
      </c>
      <c r="F48" s="77">
        <f t="shared" si="4"/>
        <v>3.1072823603871536E-3</v>
      </c>
      <c r="G48" s="76"/>
      <c r="H48" s="78">
        <f t="shared" si="5"/>
        <v>1.8430519781500081E-3</v>
      </c>
      <c r="I48" s="78">
        <f t="shared" si="6"/>
        <v>0.15000000000000002</v>
      </c>
      <c r="J48" s="79">
        <f t="shared" si="7"/>
        <v>4.660923540580731E-4</v>
      </c>
      <c r="K48" s="45"/>
      <c r="L48" s="45"/>
      <c r="N48" s="36"/>
      <c r="O48" s="36"/>
      <c r="P48" s="36"/>
      <c r="Q48" s="36"/>
      <c r="R48" s="36"/>
      <c r="S48" s="36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</row>
    <row r="49" spans="1:111" s="2" customFormat="1" ht="15" x14ac:dyDescent="0.25">
      <c r="A49" s="10"/>
      <c r="B49" s="74">
        <f t="shared" si="2"/>
        <v>1.2000000000000004</v>
      </c>
      <c r="C49" s="75">
        <f t="shared" si="0"/>
        <v>0.98807171286193052</v>
      </c>
      <c r="D49" s="76">
        <f t="shared" si="8"/>
        <v>0.74959160419501913</v>
      </c>
      <c r="E49" s="75">
        <f t="shared" si="1"/>
        <v>0.25040839580498087</v>
      </c>
      <c r="F49" s="77">
        <f t="shared" si="4"/>
        <v>3.09450743572659E-3</v>
      </c>
      <c r="G49" s="76"/>
      <c r="H49" s="78">
        <f t="shared" si="5"/>
        <v>1.8345571574894112E-3</v>
      </c>
      <c r="I49" s="78">
        <f t="shared" si="6"/>
        <v>0.2</v>
      </c>
      <c r="J49" s="79">
        <f t="shared" si="7"/>
        <v>6.1890148714531805E-4</v>
      </c>
      <c r="K49" s="45"/>
      <c r="L49" s="45"/>
      <c r="N49" s="36"/>
      <c r="O49" s="36"/>
      <c r="P49" s="36"/>
      <c r="Q49" s="36"/>
      <c r="R49" s="36"/>
      <c r="S49" s="36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</row>
    <row r="50" spans="1:111" s="2" customFormat="1" ht="15" x14ac:dyDescent="0.25">
      <c r="A50" s="10"/>
      <c r="B50" s="74">
        <f t="shared" si="2"/>
        <v>1.2500000000000004</v>
      </c>
      <c r="C50" s="75">
        <f t="shared" si="0"/>
        <v>0.98757780049388144</v>
      </c>
      <c r="D50" s="76">
        <f t="shared" si="8"/>
        <v>0.74650981916259163</v>
      </c>
      <c r="E50" s="75">
        <f t="shared" si="1"/>
        <v>0.25349018083740837</v>
      </c>
      <c r="F50" s="77">
        <f t="shared" si="4"/>
        <v>3.0817850324275087E-3</v>
      </c>
      <c r="G50" s="76">
        <f>C50*D50*0.25</f>
        <v>0.18430913131391935</v>
      </c>
      <c r="H50" s="78">
        <f t="shared" si="5"/>
        <v>1.8261014903518343E-3</v>
      </c>
      <c r="I50" s="78">
        <v>0</v>
      </c>
      <c r="J50" s="79">
        <f t="shared" si="7"/>
        <v>0</v>
      </c>
      <c r="K50" s="45"/>
      <c r="L50" s="45"/>
      <c r="N50" s="36"/>
      <c r="O50" s="36"/>
      <c r="P50" s="36"/>
      <c r="Q50" s="36"/>
      <c r="R50" s="36"/>
      <c r="S50" s="36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</row>
    <row r="51" spans="1:111" s="2" customFormat="1" ht="15" x14ac:dyDescent="0.25">
      <c r="A51" s="10"/>
      <c r="B51" s="74">
        <f t="shared" si="2"/>
        <v>1.3000000000000005</v>
      </c>
      <c r="C51" s="75">
        <f t="shared" si="0"/>
        <v>0.98708413502028758</v>
      </c>
      <c r="D51" s="76">
        <f t="shared" si="8"/>
        <v>0.74344070422803199</v>
      </c>
      <c r="E51" s="75">
        <f t="shared" si="1"/>
        <v>0.25655929577196801</v>
      </c>
      <c r="F51" s="77">
        <f t="shared" si="4"/>
        <v>3.0691149345596358E-3</v>
      </c>
      <c r="G51" s="76"/>
      <c r="H51" s="78">
        <f t="shared" si="5"/>
        <v>1.8176847962745866E-3</v>
      </c>
      <c r="I51" s="78">
        <f t="shared" si="6"/>
        <v>0.05</v>
      </c>
      <c r="J51" s="79">
        <f t="shared" si="7"/>
        <v>1.5345574672798179E-4</v>
      </c>
      <c r="K51" s="45"/>
      <c r="L51" s="45"/>
      <c r="N51" s="36"/>
      <c r="O51" s="36"/>
      <c r="P51" s="36"/>
      <c r="Q51" s="36"/>
      <c r="R51" s="36"/>
      <c r="S51" s="36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</row>
    <row r="52" spans="1:111" s="2" customFormat="1" ht="15" x14ac:dyDescent="0.25">
      <c r="A52" s="10"/>
      <c r="B52" s="74">
        <f t="shared" si="2"/>
        <v>1.3500000000000005</v>
      </c>
      <c r="C52" s="75">
        <f t="shared" si="0"/>
        <v>0.98659071631773265</v>
      </c>
      <c r="D52" s="76">
        <f t="shared" si="8"/>
        <v>0.74038420730095167</v>
      </c>
      <c r="E52" s="75">
        <f t="shared" si="1"/>
        <v>0.25961579269904833</v>
      </c>
      <c r="F52" s="77">
        <f t="shared" si="4"/>
        <v>3.0564969270803211E-3</v>
      </c>
      <c r="G52" s="76"/>
      <c r="H52" s="78">
        <f t="shared" si="5"/>
        <v>1.8093068956266734E-3</v>
      </c>
      <c r="I52" s="78">
        <f t="shared" si="6"/>
        <v>0.1</v>
      </c>
      <c r="J52" s="79">
        <f t="shared" si="7"/>
        <v>3.0564969270803212E-4</v>
      </c>
      <c r="K52" s="45"/>
      <c r="L52" s="45"/>
      <c r="N52" s="36"/>
      <c r="O52" s="36"/>
      <c r="P52" s="36"/>
      <c r="Q52" s="36"/>
      <c r="R52" s="36"/>
      <c r="S52" s="36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</row>
    <row r="53" spans="1:111" s="2" customFormat="1" ht="15" x14ac:dyDescent="0.25">
      <c r="A53" s="10"/>
      <c r="B53" s="74">
        <f t="shared" si="2"/>
        <v>1.4000000000000006</v>
      </c>
      <c r="C53" s="75">
        <f t="shared" si="0"/>
        <v>0.98609754426286189</v>
      </c>
      <c r="D53" s="76">
        <f t="shared" si="8"/>
        <v>0.73734027650512046</v>
      </c>
      <c r="E53" s="75">
        <f t="shared" si="1"/>
        <v>0.26265972349487954</v>
      </c>
      <c r="F53" s="77">
        <f t="shared" si="4"/>
        <v>3.0439307958312067E-3</v>
      </c>
      <c r="G53" s="76"/>
      <c r="H53" s="78">
        <f t="shared" si="5"/>
        <v>1.800967609605151E-3</v>
      </c>
      <c r="I53" s="78">
        <f t="shared" si="6"/>
        <v>0.15000000000000002</v>
      </c>
      <c r="J53" s="79">
        <f t="shared" si="7"/>
        <v>4.5658961937468108E-4</v>
      </c>
      <c r="K53" s="45"/>
      <c r="L53" s="45"/>
      <c r="N53" s="36"/>
      <c r="O53" s="36"/>
      <c r="P53" s="36"/>
      <c r="Q53" s="36"/>
      <c r="R53" s="36"/>
      <c r="S53" s="36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</row>
    <row r="54" spans="1:111" s="2" customFormat="1" ht="15" x14ac:dyDescent="0.25">
      <c r="A54" s="10"/>
      <c r="B54" s="74">
        <f t="shared" si="2"/>
        <v>1.4500000000000006</v>
      </c>
      <c r="C54" s="75">
        <f t="shared" si="0"/>
        <v>0.98560461873238236</v>
      </c>
      <c r="D54" s="76">
        <f t="shared" si="8"/>
        <v>0.73430886017758612</v>
      </c>
      <c r="E54" s="75">
        <f t="shared" si="1"/>
        <v>0.26569113982241388</v>
      </c>
      <c r="F54" s="77">
        <f t="shared" si="4"/>
        <v>3.031416327534342E-3</v>
      </c>
      <c r="G54" s="76"/>
      <c r="H54" s="78">
        <f t="shared" si="5"/>
        <v>1.7926667602311621E-3</v>
      </c>
      <c r="I54" s="78">
        <f t="shared" si="6"/>
        <v>0.2</v>
      </c>
      <c r="J54" s="79">
        <f t="shared" si="7"/>
        <v>6.0628326550686844E-4</v>
      </c>
      <c r="K54" s="45"/>
      <c r="L54" s="45"/>
      <c r="N54" s="36"/>
      <c r="O54" s="36"/>
      <c r="P54" s="36"/>
      <c r="Q54" s="36"/>
      <c r="R54" s="36"/>
      <c r="S54" s="36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</row>
    <row r="55" spans="1:111" s="2" customFormat="1" ht="15" x14ac:dyDescent="0.25">
      <c r="A55" s="10"/>
      <c r="B55" s="74">
        <f t="shared" si="2"/>
        <v>1.5000000000000007</v>
      </c>
      <c r="C55" s="75">
        <f t="shared" si="0"/>
        <v>0.98511193960306265</v>
      </c>
      <c r="D55" s="76">
        <f t="shared" si="8"/>
        <v>0.73128990686779771</v>
      </c>
      <c r="E55" s="75">
        <f t="shared" si="1"/>
        <v>0.26871009313220229</v>
      </c>
      <c r="F55" s="77">
        <f t="shared" si="4"/>
        <v>3.018953309788408E-3</v>
      </c>
      <c r="G55" s="76">
        <f>C55*D55*0.25</f>
        <v>0.18010060464166983</v>
      </c>
      <c r="H55" s="78">
        <f t="shared" si="5"/>
        <v>1.7844041703460466E-3</v>
      </c>
      <c r="I55" s="78">
        <v>0</v>
      </c>
      <c r="J55" s="79">
        <f t="shared" si="7"/>
        <v>0</v>
      </c>
      <c r="K55" s="45"/>
      <c r="L55" s="45"/>
      <c r="N55" s="36"/>
      <c r="O55" s="36"/>
      <c r="P55" s="36"/>
      <c r="Q55" s="36"/>
      <c r="R55" s="36"/>
      <c r="S55" s="36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</row>
    <row r="56" spans="1:111" s="2" customFormat="1" ht="15" x14ac:dyDescent="0.25">
      <c r="A56" s="10"/>
      <c r="B56" s="74">
        <f t="shared" si="2"/>
        <v>1.5500000000000007</v>
      </c>
      <c r="C56" s="75">
        <f t="shared" si="0"/>
        <v>0.98461950675173293</v>
      </c>
      <c r="D56" s="76">
        <f t="shared" si="8"/>
        <v>0.72828336533673199</v>
      </c>
      <c r="E56" s="75">
        <f t="shared" si="1"/>
        <v>0.27171663466326801</v>
      </c>
      <c r="F56" s="77">
        <f t="shared" si="4"/>
        <v>3.0065415310657206E-3</v>
      </c>
      <c r="G56" s="76"/>
      <c r="H56" s="78">
        <f t="shared" si="5"/>
        <v>1.7761796636079177E-3</v>
      </c>
      <c r="I56" s="78">
        <f t="shared" si="6"/>
        <v>0.05</v>
      </c>
      <c r="J56" s="79">
        <f t="shared" si="7"/>
        <v>1.5032707655328605E-4</v>
      </c>
      <c r="K56" s="45"/>
      <c r="L56" s="45"/>
      <c r="N56" s="36"/>
      <c r="O56" s="36"/>
      <c r="P56" s="36"/>
      <c r="Q56" s="36"/>
      <c r="R56" s="36"/>
      <c r="S56" s="36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</row>
    <row r="57" spans="1:111" s="2" customFormat="1" ht="15" x14ac:dyDescent="0.25">
      <c r="A57" s="10"/>
      <c r="B57" s="74">
        <f t="shared" si="2"/>
        <v>1.6000000000000008</v>
      </c>
      <c r="C57" s="75">
        <f t="shared" ref="C57:C88" si="9">EXP(-IRate*B57)</f>
        <v>0.98412732005528514</v>
      </c>
      <c r="D57" s="76">
        <f t="shared" si="8"/>
        <v>0.7252891845560242</v>
      </c>
      <c r="E57" s="75">
        <f t="shared" si="1"/>
        <v>0.2747108154439758</v>
      </c>
      <c r="F57" s="77">
        <f t="shared" si="4"/>
        <v>2.9941807807077891E-3</v>
      </c>
      <c r="G57" s="76"/>
      <c r="H57" s="78">
        <f t="shared" si="5"/>
        <v>1.7679930644873985E-3</v>
      </c>
      <c r="I57" s="78">
        <f t="shared" si="6"/>
        <v>0.1</v>
      </c>
      <c r="J57" s="79">
        <f t="shared" si="7"/>
        <v>2.9941807807077893E-4</v>
      </c>
      <c r="K57" s="45"/>
      <c r="L57" s="45"/>
      <c r="N57" s="36"/>
      <c r="O57" s="36"/>
      <c r="P57" s="36"/>
      <c r="Q57" s="36"/>
      <c r="R57" s="36"/>
      <c r="S57" s="36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</row>
    <row r="58" spans="1:111" s="2" customFormat="1" ht="15" x14ac:dyDescent="0.25">
      <c r="A58" s="10"/>
      <c r="B58" s="74">
        <f t="shared" si="2"/>
        <v>1.6500000000000008</v>
      </c>
      <c r="C58" s="75">
        <f t="shared" si="9"/>
        <v>0.98363537939067236</v>
      </c>
      <c r="D58" s="76">
        <f t="shared" si="8"/>
        <v>0.72230731370710155</v>
      </c>
      <c r="E58" s="75">
        <f t="shared" si="1"/>
        <v>0.27769268629289845</v>
      </c>
      <c r="F58" s="77">
        <f t="shared" ref="F58:F89" si="10">D57-D58</f>
        <v>2.981870848922652E-3</v>
      </c>
      <c r="G58" s="76"/>
      <c r="H58" s="78">
        <f t="shared" ref="H58:H89" si="11">F58*C58*(1-Recovery)</f>
        <v>1.7598441982644112E-3</v>
      </c>
      <c r="I58" s="78">
        <f t="shared" si="6"/>
        <v>0.15000000000000002</v>
      </c>
      <c r="J58" s="79">
        <f t="shared" si="7"/>
        <v>4.4728062733839785E-4</v>
      </c>
      <c r="K58" s="45"/>
      <c r="L58" s="45"/>
      <c r="N58" s="36"/>
      <c r="O58" s="36"/>
      <c r="P58" s="36"/>
      <c r="Q58" s="36"/>
      <c r="R58" s="36"/>
      <c r="S58" s="36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</row>
    <row r="59" spans="1:111" s="2" customFormat="1" ht="15" x14ac:dyDescent="0.25">
      <c r="A59" s="10"/>
      <c r="B59" s="74">
        <f t="shared" si="2"/>
        <v>1.7000000000000008</v>
      </c>
      <c r="C59" s="75">
        <f t="shared" si="9"/>
        <v>0.98314368463490964</v>
      </c>
      <c r="D59" s="76">
        <f t="shared" si="8"/>
        <v>0.719337702180321</v>
      </c>
      <c r="E59" s="75">
        <f t="shared" si="1"/>
        <v>0.280662297819679</v>
      </c>
      <c r="F59" s="77">
        <f t="shared" si="10"/>
        <v>2.9696115267805467E-3</v>
      </c>
      <c r="G59" s="76"/>
      <c r="H59" s="78">
        <f t="shared" si="11"/>
        <v>1.7517328910239959E-3</v>
      </c>
      <c r="I59" s="78">
        <f t="shared" si="6"/>
        <v>0.2</v>
      </c>
      <c r="J59" s="79">
        <f t="shared" si="7"/>
        <v>5.9392230535610941E-4</v>
      </c>
      <c r="K59" s="45"/>
      <c r="L59" s="45"/>
      <c r="N59" s="36"/>
      <c r="O59" s="36"/>
      <c r="P59" s="36"/>
      <c r="Q59" s="36"/>
      <c r="R59" s="36"/>
      <c r="S59" s="36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</row>
    <row r="60" spans="1:111" s="2" customFormat="1" ht="15" x14ac:dyDescent="0.25">
      <c r="A60" s="10"/>
      <c r="B60" s="74">
        <f t="shared" si="2"/>
        <v>1.7500000000000009</v>
      </c>
      <c r="C60" s="75">
        <f t="shared" si="9"/>
        <v>0.9826522356650732</v>
      </c>
      <c r="D60" s="76">
        <f t="shared" si="8"/>
        <v>0.7163802995741102</v>
      </c>
      <c r="E60" s="75">
        <f t="shared" si="1"/>
        <v>0.2836197004258898</v>
      </c>
      <c r="F60" s="77">
        <f t="shared" si="10"/>
        <v>2.9574026062108016E-3</v>
      </c>
      <c r="G60" s="76">
        <f>C60*D60*0.25</f>
        <v>0.17598817574072856</v>
      </c>
      <c r="H60" s="78">
        <f t="shared" si="11"/>
        <v>1.7436589696528549E-3</v>
      </c>
      <c r="I60" s="78">
        <v>0</v>
      </c>
      <c r="J60" s="79">
        <f t="shared" si="7"/>
        <v>0</v>
      </c>
      <c r="K60" s="45"/>
      <c r="L60" s="45"/>
      <c r="N60" s="36"/>
      <c r="O60" s="36"/>
      <c r="P60" s="36"/>
      <c r="Q60" s="36"/>
      <c r="R60" s="36"/>
      <c r="S60" s="36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</row>
    <row r="61" spans="1:111" s="2" customFormat="1" ht="15" x14ac:dyDescent="0.25">
      <c r="A61" s="10"/>
      <c r="B61" s="74">
        <f t="shared" si="2"/>
        <v>1.8000000000000009</v>
      </c>
      <c r="C61" s="75">
        <f t="shared" si="9"/>
        <v>0.98216103235830066</v>
      </c>
      <c r="D61" s="76">
        <f t="shared" si="8"/>
        <v>0.71343505569411203</v>
      </c>
      <c r="E61" s="75">
        <f t="shared" si="1"/>
        <v>0.28656494430588797</v>
      </c>
      <c r="F61" s="77">
        <f t="shared" si="10"/>
        <v>2.9452438799981717E-3</v>
      </c>
      <c r="G61" s="76"/>
      <c r="H61" s="78">
        <f t="shared" si="11"/>
        <v>1.7356222618355828E-3</v>
      </c>
      <c r="I61" s="78">
        <f t="shared" si="6"/>
        <v>0.05</v>
      </c>
      <c r="J61" s="79">
        <f t="shared" si="7"/>
        <v>1.4726219399990859E-4</v>
      </c>
      <c r="K61" s="45"/>
      <c r="L61" s="45"/>
      <c r="N61" s="36"/>
      <c r="O61" s="36"/>
      <c r="P61" s="36"/>
      <c r="Q61" s="36"/>
      <c r="R61" s="36"/>
      <c r="S61" s="36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</row>
    <row r="62" spans="1:111" s="2" customFormat="1" ht="15" x14ac:dyDescent="0.25">
      <c r="A62" s="10"/>
      <c r="B62" s="74">
        <f t="shared" si="2"/>
        <v>1.850000000000001</v>
      </c>
      <c r="C62" s="75">
        <f t="shared" si="9"/>
        <v>0.98167007459179145</v>
      </c>
      <c r="D62" s="76">
        <f t="shared" si="8"/>
        <v>0.71050192055233263</v>
      </c>
      <c r="E62" s="75">
        <f t="shared" si="1"/>
        <v>0.28949807944766737</v>
      </c>
      <c r="F62" s="77">
        <f t="shared" si="10"/>
        <v>2.9331351417793972E-3</v>
      </c>
      <c r="G62" s="76"/>
      <c r="H62" s="78">
        <f t="shared" si="11"/>
        <v>1.7276225960510315E-3</v>
      </c>
      <c r="I62" s="78">
        <f t="shared" si="6"/>
        <v>0.1</v>
      </c>
      <c r="J62" s="79">
        <f t="shared" si="7"/>
        <v>2.9331351417793972E-4</v>
      </c>
      <c r="K62" s="45"/>
      <c r="L62" s="45"/>
      <c r="N62" s="36"/>
      <c r="O62" s="36"/>
      <c r="P62" s="36"/>
      <c r="Q62" s="36"/>
      <c r="R62" s="36"/>
      <c r="S62" s="36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</row>
    <row r="63" spans="1:111" s="2" customFormat="1" ht="15" x14ac:dyDescent="0.25">
      <c r="A63" s="10"/>
      <c r="B63" s="74">
        <f t="shared" si="2"/>
        <v>1.900000000000001</v>
      </c>
      <c r="C63" s="75">
        <f t="shared" si="9"/>
        <v>0.981179362242806</v>
      </c>
      <c r="D63" s="76">
        <f t="shared" si="8"/>
        <v>0.7075808443662932</v>
      </c>
      <c r="E63" s="75">
        <f t="shared" si="1"/>
        <v>0.2924191556337068</v>
      </c>
      <c r="F63" s="77">
        <f t="shared" si="10"/>
        <v>2.9210761860394285E-3</v>
      </c>
      <c r="G63" s="76"/>
      <c r="H63" s="78">
        <f t="shared" si="11"/>
        <v>1.7196598015684888E-3</v>
      </c>
      <c r="I63" s="78">
        <f t="shared" si="6"/>
        <v>0.15000000000000002</v>
      </c>
      <c r="J63" s="79">
        <f t="shared" si="7"/>
        <v>4.3816142790591432E-4</v>
      </c>
      <c r="K63" s="45"/>
      <c r="L63" s="45"/>
      <c r="N63" s="36"/>
      <c r="O63" s="36"/>
      <c r="P63" s="36"/>
      <c r="Q63" s="36"/>
      <c r="R63" s="36"/>
      <c r="S63" s="36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</row>
    <row r="64" spans="1:111" s="2" customFormat="1" ht="15" x14ac:dyDescent="0.25">
      <c r="A64" s="10"/>
      <c r="B64" s="74">
        <f t="shared" si="2"/>
        <v>1.9500000000000011</v>
      </c>
      <c r="C64" s="75">
        <f t="shared" si="9"/>
        <v>0.9806888951886662</v>
      </c>
      <c r="D64" s="76">
        <f t="shared" si="8"/>
        <v>0.70467177755818478</v>
      </c>
      <c r="E64" s="75">
        <f t="shared" si="1"/>
        <v>0.29532822244181522</v>
      </c>
      <c r="F64" s="77">
        <f t="shared" si="10"/>
        <v>2.9090668081084292E-3</v>
      </c>
      <c r="G64" s="76"/>
      <c r="H64" s="78">
        <f t="shared" si="11"/>
        <v>1.7117337084443249E-3</v>
      </c>
      <c r="I64" s="78">
        <f t="shared" si="6"/>
        <v>0.2</v>
      </c>
      <c r="J64" s="79">
        <f t="shared" si="7"/>
        <v>5.8181336162168586E-4</v>
      </c>
      <c r="K64" s="45"/>
      <c r="L64" s="45"/>
      <c r="N64" s="36"/>
      <c r="O64" s="36"/>
      <c r="P64" s="36"/>
      <c r="Q64" s="36"/>
      <c r="R64" s="36"/>
      <c r="S64" s="36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</row>
    <row r="65" spans="1:111" s="2" customFormat="1" ht="15" x14ac:dyDescent="0.25">
      <c r="A65" s="10"/>
      <c r="B65" s="132">
        <f t="shared" si="2"/>
        <v>2.0000000000000009</v>
      </c>
      <c r="C65" s="133">
        <f t="shared" si="9"/>
        <v>0.98019867330675525</v>
      </c>
      <c r="D65" s="134">
        <f t="shared" si="8"/>
        <v>0.701774670754027</v>
      </c>
      <c r="E65" s="133">
        <f t="shared" si="1"/>
        <v>0.298225329245973</v>
      </c>
      <c r="F65" s="135">
        <f t="shared" si="10"/>
        <v>2.8971068041577785E-3</v>
      </c>
      <c r="G65" s="134">
        <f>C65*D65*0.25</f>
        <v>0.17196965030834557</v>
      </c>
      <c r="H65" s="136">
        <f t="shared" si="11"/>
        <v>1.7038441475180567E-3</v>
      </c>
      <c r="I65" s="136">
        <v>0</v>
      </c>
      <c r="J65" s="137">
        <f t="shared" si="7"/>
        <v>0</v>
      </c>
      <c r="K65" s="45"/>
      <c r="L65" s="45"/>
      <c r="N65" s="36"/>
      <c r="O65" s="36"/>
      <c r="P65" s="36"/>
      <c r="Q65" s="36"/>
      <c r="R65" s="36"/>
      <c r="S65" s="36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</row>
    <row r="66" spans="1:111" s="2" customFormat="1" ht="15" x14ac:dyDescent="0.25">
      <c r="A66" s="10"/>
      <c r="B66" s="74">
        <f t="shared" si="2"/>
        <v>2.0500000000000007</v>
      </c>
      <c r="C66" s="75">
        <f t="shared" si="9"/>
        <v>0.97970869647451786</v>
      </c>
      <c r="D66" s="76">
        <f t="shared" ref="D66:D85" si="12">D65*EXP(-0.05*HazardRate3)</f>
        <v>0.69888947478283003</v>
      </c>
      <c r="E66" s="75">
        <f t="shared" si="1"/>
        <v>0.30111052521716997</v>
      </c>
      <c r="F66" s="77">
        <f t="shared" si="10"/>
        <v>2.8851959711969632E-3</v>
      </c>
      <c r="G66" s="76"/>
      <c r="H66" s="78">
        <f t="shared" si="11"/>
        <v>1.6959909504089446E-3</v>
      </c>
      <c r="I66" s="78">
        <f t="shared" si="6"/>
        <v>0.05</v>
      </c>
      <c r="J66" s="79">
        <f t="shared" si="7"/>
        <v>1.4425979855984817E-4</v>
      </c>
      <c r="K66" s="45"/>
      <c r="L66" s="45"/>
      <c r="N66" s="36"/>
      <c r="O66" s="36"/>
      <c r="P66" s="36"/>
      <c r="Q66" s="36"/>
      <c r="R66" s="36"/>
      <c r="S66" s="36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</row>
    <row r="67" spans="1:111" s="2" customFormat="1" ht="15" x14ac:dyDescent="0.25">
      <c r="A67" s="10"/>
      <c r="B67" s="74">
        <f t="shared" si="2"/>
        <v>2.1000000000000005</v>
      </c>
      <c r="C67" s="75">
        <f t="shared" si="9"/>
        <v>0.97921896456945956</v>
      </c>
      <c r="D67" s="76">
        <f t="shared" si="12"/>
        <v>0.69601614067576001</v>
      </c>
      <c r="E67" s="75">
        <f t="shared" si="1"/>
        <v>0.30398385932423999</v>
      </c>
      <c r="F67" s="77">
        <f t="shared" si="10"/>
        <v>2.8733341070700247E-3</v>
      </c>
      <c r="G67" s="76"/>
      <c r="H67" s="78">
        <f t="shared" si="11"/>
        <v>1.6881739495123334E-3</v>
      </c>
      <c r="I67" s="78">
        <f t="shared" si="6"/>
        <v>0.1</v>
      </c>
      <c r="J67" s="79">
        <f t="shared" si="7"/>
        <v>2.873334107070025E-4</v>
      </c>
      <c r="K67" s="45"/>
      <c r="L67" s="45"/>
      <c r="N67" s="36"/>
      <c r="O67" s="36"/>
      <c r="P67" s="36"/>
      <c r="Q67" s="36"/>
      <c r="R67" s="36"/>
      <c r="S67" s="36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</row>
    <row r="68" spans="1:111" s="2" customFormat="1" ht="15" x14ac:dyDescent="0.25">
      <c r="A68" s="10"/>
      <c r="B68" s="74">
        <f t="shared" si="2"/>
        <v>2.1500000000000004</v>
      </c>
      <c r="C68" s="75">
        <f t="shared" si="9"/>
        <v>0.97872947746914762</v>
      </c>
      <c r="D68" s="76">
        <f t="shared" si="12"/>
        <v>0.693154619665308</v>
      </c>
      <c r="E68" s="75">
        <f t="shared" si="1"/>
        <v>0.306845380334692</v>
      </c>
      <c r="F68" s="77">
        <f t="shared" si="10"/>
        <v>2.8615210104520061E-3</v>
      </c>
      <c r="G68" s="76"/>
      <c r="H68" s="78">
        <f t="shared" si="11"/>
        <v>1.6803929779960075E-3</v>
      </c>
      <c r="I68" s="78">
        <f t="shared" si="6"/>
        <v>0.15000000000000002</v>
      </c>
      <c r="J68" s="79">
        <f t="shared" si="7"/>
        <v>4.2922815156780098E-4</v>
      </c>
      <c r="K68" s="45"/>
      <c r="L68" s="45"/>
      <c r="N68" s="36"/>
      <c r="O68" s="36"/>
      <c r="P68" s="36"/>
      <c r="Q68" s="36"/>
      <c r="R68" s="36"/>
      <c r="S68" s="36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</row>
    <row r="69" spans="1:111" s="2" customFormat="1" ht="15" x14ac:dyDescent="0.25">
      <c r="A69" s="10"/>
      <c r="B69" s="74">
        <f t="shared" si="2"/>
        <v>2.2000000000000002</v>
      </c>
      <c r="C69" s="75">
        <f t="shared" si="9"/>
        <v>0.97824023505121005</v>
      </c>
      <c r="D69" s="76">
        <f t="shared" si="12"/>
        <v>0.69030486318446194</v>
      </c>
      <c r="E69" s="75">
        <f t="shared" si="1"/>
        <v>0.30969513681553806</v>
      </c>
      <c r="F69" s="77">
        <f t="shared" si="10"/>
        <v>2.8497564808460663E-3</v>
      </c>
      <c r="G69" s="76"/>
      <c r="H69" s="78">
        <f t="shared" si="11"/>
        <v>1.6726478697969391E-3</v>
      </c>
      <c r="I69" s="78">
        <f t="shared" si="6"/>
        <v>0.2</v>
      </c>
      <c r="J69" s="79">
        <f t="shared" si="7"/>
        <v>5.6995129616921325E-4</v>
      </c>
      <c r="K69" s="45"/>
      <c r="L69" s="45"/>
      <c r="N69" s="36"/>
      <c r="O69" s="36"/>
      <c r="P69" s="36"/>
      <c r="Q69" s="36"/>
      <c r="R69" s="36"/>
      <c r="S69" s="36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</row>
    <row r="70" spans="1:111" s="2" customFormat="1" ht="15" x14ac:dyDescent="0.25">
      <c r="A70" s="10"/>
      <c r="B70" s="74">
        <f t="shared" si="2"/>
        <v>2.25</v>
      </c>
      <c r="C70" s="75">
        <f t="shared" si="9"/>
        <v>0.97775123719333634</v>
      </c>
      <c r="D70" s="76">
        <f t="shared" si="12"/>
        <v>0.6874668228658829</v>
      </c>
      <c r="E70" s="75">
        <f t="shared" si="1"/>
        <v>0.3125331771341171</v>
      </c>
      <c r="F70" s="77">
        <f t="shared" si="10"/>
        <v>2.8380403185790382E-3</v>
      </c>
      <c r="G70" s="76">
        <f>C70*D70*0.25</f>
        <v>0.1680428841466223</v>
      </c>
      <c r="H70" s="78">
        <f t="shared" si="11"/>
        <v>1.6649384596171349E-3</v>
      </c>
      <c r="I70" s="78">
        <v>0</v>
      </c>
      <c r="J70" s="79">
        <f t="shared" si="7"/>
        <v>0</v>
      </c>
      <c r="K70" s="45"/>
      <c r="L70" s="45"/>
      <c r="N70" s="36"/>
      <c r="O70" s="36"/>
      <c r="P70" s="36"/>
      <c r="Q70" s="36"/>
      <c r="R70" s="36"/>
      <c r="S70" s="36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</row>
    <row r="71" spans="1:111" s="2" customFormat="1" ht="15" x14ac:dyDescent="0.25">
      <c r="A71" s="10"/>
      <c r="B71" s="74">
        <f t="shared" si="2"/>
        <v>2.2999999999999998</v>
      </c>
      <c r="C71" s="75">
        <f t="shared" si="9"/>
        <v>0.97726248377327707</v>
      </c>
      <c r="D71" s="76">
        <f t="shared" si="12"/>
        <v>0.6846404505410838</v>
      </c>
      <c r="E71" s="75">
        <f t="shared" si="1"/>
        <v>0.3153595494589162</v>
      </c>
      <c r="F71" s="77">
        <f t="shared" si="10"/>
        <v>2.8263723247990979E-3</v>
      </c>
      <c r="G71" s="76"/>
      <c r="H71" s="78">
        <f t="shared" si="11"/>
        <v>1.6572645829207307E-3</v>
      </c>
      <c r="I71" s="78">
        <f t="shared" si="6"/>
        <v>0.05</v>
      </c>
      <c r="J71" s="79">
        <f t="shared" si="7"/>
        <v>1.413186162399549E-4</v>
      </c>
      <c r="K71" s="45"/>
      <c r="L71" s="45"/>
      <c r="N71" s="36"/>
      <c r="O71" s="36"/>
      <c r="P71" s="36"/>
      <c r="Q71" s="36"/>
      <c r="R71" s="36"/>
      <c r="S71" s="36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</row>
    <row r="72" spans="1:111" s="2" customFormat="1" ht="15" x14ac:dyDescent="0.25">
      <c r="A72" s="10"/>
      <c r="B72" s="74">
        <f t="shared" si="2"/>
        <v>2.3499999999999996</v>
      </c>
      <c r="C72" s="75">
        <f t="shared" si="9"/>
        <v>0.97677397466884386</v>
      </c>
      <c r="D72" s="76">
        <f t="shared" si="12"/>
        <v>0.68182569823961192</v>
      </c>
      <c r="E72" s="75">
        <f t="shared" si="1"/>
        <v>0.31817430176038808</v>
      </c>
      <c r="F72" s="77">
        <f t="shared" si="10"/>
        <v>2.8147523014718789E-3</v>
      </c>
      <c r="G72" s="76"/>
      <c r="H72" s="78">
        <f t="shared" si="11"/>
        <v>1.6496260759301777E-3</v>
      </c>
      <c r="I72" s="78">
        <f t="shared" si="6"/>
        <v>0.1</v>
      </c>
      <c r="J72" s="79">
        <f t="shared" si="7"/>
        <v>2.8147523014718793E-4</v>
      </c>
      <c r="K72" s="45"/>
      <c r="L72" s="45"/>
      <c r="N72" s="36"/>
      <c r="O72" s="36"/>
      <c r="P72" s="36"/>
      <c r="Q72" s="36"/>
      <c r="R72" s="36"/>
      <c r="S72" s="36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</row>
    <row r="73" spans="1:111" s="2" customFormat="1" ht="15" x14ac:dyDescent="0.25">
      <c r="A73" s="10"/>
      <c r="B73" s="74">
        <f t="shared" si="2"/>
        <v>2.3999999999999995</v>
      </c>
      <c r="C73" s="75">
        <f t="shared" si="9"/>
        <v>0.97628570975790929</v>
      </c>
      <c r="D73" s="76">
        <f t="shared" si="12"/>
        <v>0.67902251818823478</v>
      </c>
      <c r="E73" s="75">
        <f t="shared" si="1"/>
        <v>0.32097748181176522</v>
      </c>
      <c r="F73" s="77">
        <f t="shared" si="10"/>
        <v>2.803180051377141E-3</v>
      </c>
      <c r="G73" s="76"/>
      <c r="H73" s="78">
        <f t="shared" si="11"/>
        <v>1.6420227756227667E-3</v>
      </c>
      <c r="I73" s="78">
        <f t="shared" si="6"/>
        <v>0.15000000000000002</v>
      </c>
      <c r="J73" s="79">
        <f t="shared" si="7"/>
        <v>4.2047700770657121E-4</v>
      </c>
      <c r="K73" s="45"/>
      <c r="L73" s="45"/>
      <c r="N73" s="36"/>
      <c r="O73" s="36"/>
      <c r="P73" s="36"/>
      <c r="Q73" s="36"/>
      <c r="R73" s="36"/>
      <c r="S73" s="36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</row>
    <row r="74" spans="1:111" s="2" customFormat="1" ht="15" x14ac:dyDescent="0.25">
      <c r="A74" s="10"/>
      <c r="B74" s="74">
        <f t="shared" si="2"/>
        <v>2.4499999999999993</v>
      </c>
      <c r="C74" s="75">
        <f t="shared" si="9"/>
        <v>0.97579768891840735</v>
      </c>
      <c r="D74" s="76">
        <f t="shared" si="12"/>
        <v>0.67623086281012934</v>
      </c>
      <c r="E74" s="75">
        <f t="shared" si="1"/>
        <v>0.32376913718987066</v>
      </c>
      <c r="F74" s="77">
        <f t="shared" si="10"/>
        <v>2.7916553781054398E-3</v>
      </c>
      <c r="G74" s="76"/>
      <c r="H74" s="78">
        <f t="shared" si="11"/>
        <v>1.6344545197271585E-3</v>
      </c>
      <c r="I74" s="78">
        <f t="shared" si="6"/>
        <v>0.2</v>
      </c>
      <c r="J74" s="79">
        <f t="shared" si="7"/>
        <v>5.5833107562108797E-4</v>
      </c>
      <c r="K74" s="45"/>
      <c r="L74" s="45"/>
      <c r="N74" s="36"/>
      <c r="O74" s="36"/>
      <c r="P74" s="36"/>
      <c r="Q74" s="36"/>
      <c r="R74" s="36"/>
      <c r="S74" s="36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</row>
    <row r="75" spans="1:111" s="2" customFormat="1" ht="15" x14ac:dyDescent="0.25">
      <c r="A75" s="10"/>
      <c r="B75" s="74">
        <f t="shared" si="2"/>
        <v>2.4999999999999991</v>
      </c>
      <c r="C75" s="75">
        <f t="shared" si="9"/>
        <v>0.97530991202833273</v>
      </c>
      <c r="D75" s="76">
        <f t="shared" si="12"/>
        <v>0.67345068472407432</v>
      </c>
      <c r="E75" s="75">
        <f t="shared" si="1"/>
        <v>0.32654931527592568</v>
      </c>
      <c r="F75" s="77">
        <f t="shared" si="10"/>
        <v>2.7801780860550185E-3</v>
      </c>
      <c r="G75" s="76">
        <f>C75*D75*0.25</f>
        <v>0.16420578201841435</v>
      </c>
      <c r="H75" s="78">
        <f t="shared" si="11"/>
        <v>1.626921146720051E-3</v>
      </c>
      <c r="I75" s="78">
        <v>0</v>
      </c>
      <c r="J75" s="79">
        <f t="shared" si="7"/>
        <v>0</v>
      </c>
      <c r="K75" s="45"/>
      <c r="L75" s="45"/>
      <c r="N75" s="36"/>
      <c r="O75" s="36"/>
      <c r="P75" s="36"/>
      <c r="Q75" s="36"/>
      <c r="R75" s="36"/>
      <c r="S75" s="36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</row>
    <row r="76" spans="1:111" s="2" customFormat="1" ht="15" x14ac:dyDescent="0.25">
      <c r="A76" s="10"/>
      <c r="B76" s="74">
        <f t="shared" si="2"/>
        <v>2.5499999999999989</v>
      </c>
      <c r="C76" s="75">
        <f t="shared" si="9"/>
        <v>0.97482237896574109</v>
      </c>
      <c r="D76" s="76">
        <f t="shared" si="12"/>
        <v>0.6706819367436464</v>
      </c>
      <c r="E76" s="75">
        <f t="shared" si="1"/>
        <v>0.3293180632563536</v>
      </c>
      <c r="F76" s="77">
        <f t="shared" si="10"/>
        <v>2.7687479804279214E-3</v>
      </c>
      <c r="G76" s="76"/>
      <c r="H76" s="78">
        <f t="shared" si="11"/>
        <v>1.6194224958224026E-3</v>
      </c>
      <c r="I76" s="78">
        <f t="shared" si="6"/>
        <v>0.05</v>
      </c>
      <c r="J76" s="79">
        <f t="shared" si="7"/>
        <v>1.3843739902139607E-4</v>
      </c>
      <c r="K76" s="45"/>
      <c r="L76" s="45"/>
      <c r="N76" s="36"/>
      <c r="O76" s="36"/>
      <c r="P76" s="36"/>
      <c r="Q76" s="36"/>
      <c r="R76" s="36"/>
      <c r="S76" s="36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</row>
    <row r="77" spans="1:111" s="2" customFormat="1" ht="15" x14ac:dyDescent="0.25">
      <c r="A77" s="10"/>
      <c r="B77" s="74">
        <f t="shared" si="2"/>
        <v>2.5999999999999988</v>
      </c>
      <c r="C77" s="75">
        <f t="shared" si="9"/>
        <v>0.97433508960874937</v>
      </c>
      <c r="D77" s="76">
        <f t="shared" si="12"/>
        <v>0.66792457187641885</v>
      </c>
      <c r="E77" s="75">
        <f t="shared" si="1"/>
        <v>0.33207542812358115</v>
      </c>
      <c r="F77" s="77">
        <f t="shared" si="10"/>
        <v>2.7573648672275519E-3</v>
      </c>
      <c r="G77" s="76"/>
      <c r="H77" s="78">
        <f t="shared" si="11"/>
        <v>1.6119584069965043E-3</v>
      </c>
      <c r="I77" s="78">
        <f t="shared" si="6"/>
        <v>0.1</v>
      </c>
      <c r="J77" s="79">
        <f t="shared" si="7"/>
        <v>2.757364867227552E-4</v>
      </c>
      <c r="K77" s="45"/>
      <c r="L77" s="45"/>
      <c r="N77" s="36"/>
      <c r="O77" s="36"/>
      <c r="P77" s="36"/>
      <c r="Q77" s="36"/>
      <c r="R77" s="36"/>
      <c r="S77" s="36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</row>
    <row r="78" spans="1:111" s="2" customFormat="1" ht="15" x14ac:dyDescent="0.25">
      <c r="A78" s="10"/>
      <c r="B78" s="74">
        <f t="shared" si="2"/>
        <v>2.6499999999999986</v>
      </c>
      <c r="C78" s="75">
        <f t="shared" si="9"/>
        <v>0.97384804383553503</v>
      </c>
      <c r="D78" s="76">
        <f t="shared" si="12"/>
        <v>0.6651785433231644</v>
      </c>
      <c r="E78" s="75">
        <f t="shared" si="1"/>
        <v>0.3348214566768356</v>
      </c>
      <c r="F78" s="77">
        <f t="shared" si="10"/>
        <v>2.7460285532544537E-3</v>
      </c>
      <c r="G78" s="76"/>
      <c r="H78" s="78">
        <f t="shared" si="11"/>
        <v>1.6045287209420244E-3</v>
      </c>
      <c r="I78" s="78">
        <f t="shared" si="6"/>
        <v>0.15000000000000002</v>
      </c>
      <c r="J78" s="79">
        <f t="shared" si="7"/>
        <v>4.119042829881681E-4</v>
      </c>
      <c r="K78" s="45"/>
      <c r="L78" s="45"/>
      <c r="N78" s="36"/>
      <c r="O78" s="36"/>
      <c r="P78" s="36"/>
      <c r="Q78" s="36"/>
      <c r="R78" s="36"/>
      <c r="S78" s="36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</row>
    <row r="79" spans="1:111" s="2" customFormat="1" ht="15" x14ac:dyDescent="0.25">
      <c r="A79" s="10"/>
      <c r="B79" s="74">
        <f t="shared" si="2"/>
        <v>2.6999999999999984</v>
      </c>
      <c r="C79" s="75">
        <f t="shared" si="9"/>
        <v>0.97336124152433678</v>
      </c>
      <c r="D79" s="76">
        <f t="shared" si="12"/>
        <v>0.66244380447706075</v>
      </c>
      <c r="E79" s="75">
        <f t="shared" si="1"/>
        <v>0.33755619552293925</v>
      </c>
      <c r="F79" s="77">
        <f t="shared" si="10"/>
        <v>2.7347388461036459E-3</v>
      </c>
      <c r="G79" s="76"/>
      <c r="H79" s="78">
        <f t="shared" si="11"/>
        <v>1.5971332790929661E-3</v>
      </c>
      <c r="I79" s="78">
        <f t="shared" si="6"/>
        <v>0.2</v>
      </c>
      <c r="J79" s="79">
        <f t="shared" si="7"/>
        <v>5.4694776922072921E-4</v>
      </c>
      <c r="K79" s="45"/>
      <c r="L79" s="45"/>
      <c r="N79" s="36"/>
      <c r="O79" s="36"/>
      <c r="P79" s="36"/>
      <c r="Q79" s="36"/>
      <c r="R79" s="36"/>
      <c r="S79" s="36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</row>
    <row r="80" spans="1:111" s="2" customFormat="1" ht="15" x14ac:dyDescent="0.25">
      <c r="A80" s="10"/>
      <c r="B80" s="74">
        <f t="shared" si="2"/>
        <v>2.7499999999999982</v>
      </c>
      <c r="C80" s="75">
        <f t="shared" si="9"/>
        <v>0.972874682553454</v>
      </c>
      <c r="D80" s="76">
        <f t="shared" si="12"/>
        <v>0.65972030892289946</v>
      </c>
      <c r="E80" s="75">
        <f t="shared" si="1"/>
        <v>0.34027969107710054</v>
      </c>
      <c r="F80" s="77">
        <f t="shared" si="10"/>
        <v>2.7234955541612926E-3</v>
      </c>
      <c r="G80" s="76">
        <f>C80*D80*0.25</f>
        <v>0.16045629652935811</v>
      </c>
      <c r="H80" s="78">
        <f t="shared" si="11"/>
        <v>1.5897719236142465E-3</v>
      </c>
      <c r="I80" s="78">
        <v>0</v>
      </c>
      <c r="J80" s="79">
        <f t="shared" si="7"/>
        <v>0</v>
      </c>
      <c r="K80" s="45"/>
      <c r="L80" s="45"/>
      <c r="N80" s="36"/>
      <c r="O80" s="36"/>
      <c r="P80" s="36"/>
      <c r="Q80" s="36"/>
      <c r="R80" s="36"/>
      <c r="S80" s="36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</row>
    <row r="81" spans="1:111" s="2" customFormat="1" ht="15" x14ac:dyDescent="0.25">
      <c r="A81" s="10"/>
      <c r="B81" s="74">
        <f t="shared" si="2"/>
        <v>2.799999999999998</v>
      </c>
      <c r="C81" s="75">
        <f t="shared" si="9"/>
        <v>0.97238836680124696</v>
      </c>
      <c r="D81" s="76">
        <f t="shared" si="12"/>
        <v>0.65700801043629831</v>
      </c>
      <c r="E81" s="75">
        <f t="shared" si="1"/>
        <v>0.34299198956370169</v>
      </c>
      <c r="F81" s="77">
        <f t="shared" si="10"/>
        <v>2.7122984866011501E-3</v>
      </c>
      <c r="G81" s="76"/>
      <c r="H81" s="78">
        <f t="shared" si="11"/>
        <v>1.5824444973981517E-3</v>
      </c>
      <c r="I81" s="78">
        <f t="shared" si="6"/>
        <v>0.05</v>
      </c>
      <c r="J81" s="79">
        <f t="shared" si="7"/>
        <v>1.356149243300575E-4</v>
      </c>
      <c r="K81" s="45"/>
      <c r="L81" s="45"/>
      <c r="N81" s="36"/>
      <c r="O81" s="36"/>
      <c r="P81" s="36"/>
      <c r="Q81" s="36"/>
      <c r="R81" s="36"/>
      <c r="S81" s="36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</row>
    <row r="82" spans="1:111" s="2" customFormat="1" ht="15" x14ac:dyDescent="0.25">
      <c r="A82" s="10"/>
      <c r="B82" s="74">
        <f t="shared" si="2"/>
        <v>2.8499999999999979</v>
      </c>
      <c r="C82" s="75">
        <f t="shared" si="9"/>
        <v>0.9719022941461366</v>
      </c>
      <c r="D82" s="76">
        <f t="shared" si="12"/>
        <v>0.65430686298291674</v>
      </c>
      <c r="E82" s="75">
        <f t="shared" si="1"/>
        <v>0.34569313701708326</v>
      </c>
      <c r="F82" s="77">
        <f t="shared" si="10"/>
        <v>2.7011474533815694E-3</v>
      </c>
      <c r="G82" s="76"/>
      <c r="H82" s="78">
        <f t="shared" si="11"/>
        <v>1.575150844061125E-3</v>
      </c>
      <c r="I82" s="78">
        <f t="shared" si="6"/>
        <v>0.1</v>
      </c>
      <c r="J82" s="79">
        <f t="shared" si="7"/>
        <v>2.7011474533815693E-4</v>
      </c>
      <c r="K82" s="45"/>
      <c r="L82" s="45"/>
      <c r="N82" s="36"/>
      <c r="O82" s="36"/>
      <c r="P82" s="36"/>
      <c r="Q82" s="36"/>
      <c r="R82" s="36"/>
      <c r="S82" s="36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</row>
    <row r="83" spans="1:111" s="2" customFormat="1" ht="15" x14ac:dyDescent="0.25">
      <c r="A83" s="10"/>
      <c r="B83" s="74">
        <f t="shared" si="2"/>
        <v>2.8999999999999977</v>
      </c>
      <c r="C83" s="75">
        <f t="shared" si="9"/>
        <v>0.9714164644666049</v>
      </c>
      <c r="D83" s="76">
        <f t="shared" si="12"/>
        <v>0.65161682071767446</v>
      </c>
      <c r="E83" s="75">
        <f t="shared" si="1"/>
        <v>0.34838317928232554</v>
      </c>
      <c r="F83" s="77">
        <f t="shared" si="10"/>
        <v>2.6900422652422762E-3</v>
      </c>
      <c r="G83" s="76"/>
      <c r="H83" s="78">
        <f t="shared" si="11"/>
        <v>1.5678908079404335E-3</v>
      </c>
      <c r="I83" s="78">
        <f t="shared" si="6"/>
        <v>0.15000000000000002</v>
      </c>
      <c r="J83" s="79">
        <f t="shared" si="7"/>
        <v>4.0350633978634151E-4</v>
      </c>
      <c r="K83" s="45"/>
      <c r="L83" s="45"/>
      <c r="N83" s="36"/>
      <c r="O83" s="36"/>
      <c r="P83" s="36"/>
      <c r="Q83" s="36"/>
      <c r="R83" s="36"/>
      <c r="S83" s="36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</row>
    <row r="84" spans="1:111" s="2" customFormat="1" ht="15" x14ac:dyDescent="0.25">
      <c r="A84" s="10"/>
      <c r="B84" s="74">
        <f t="shared" si="2"/>
        <v>2.9499999999999975</v>
      </c>
      <c r="C84" s="75">
        <f t="shared" si="9"/>
        <v>0.97093087764119435</v>
      </c>
      <c r="D84" s="76">
        <f t="shared" si="12"/>
        <v>0.64893783798397342</v>
      </c>
      <c r="E84" s="75">
        <f t="shared" si="1"/>
        <v>0.35106216201602658</v>
      </c>
      <c r="F84" s="77">
        <f t="shared" si="10"/>
        <v>2.6789827337010408E-3</v>
      </c>
      <c r="G84" s="76"/>
      <c r="H84" s="78">
        <f t="shared" si="11"/>
        <v>1.5606642340907746E-3</v>
      </c>
      <c r="I84" s="78">
        <f t="shared" si="6"/>
        <v>0.2</v>
      </c>
      <c r="J84" s="79">
        <f t="shared" si="7"/>
        <v>5.3579654674020818E-4</v>
      </c>
      <c r="K84" s="45"/>
      <c r="L84" s="45"/>
      <c r="N84" s="36"/>
      <c r="O84" s="36"/>
      <c r="P84" s="36"/>
      <c r="Q84" s="36"/>
      <c r="R84" s="36"/>
      <c r="S84" s="36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</row>
    <row r="85" spans="1:111" s="2" customFormat="1" ht="15" x14ac:dyDescent="0.25">
      <c r="A85" s="10"/>
      <c r="B85" s="132">
        <f t="shared" si="2"/>
        <v>2.9999999999999973</v>
      </c>
      <c r="C85" s="133">
        <f t="shared" si="9"/>
        <v>0.97044553354850815</v>
      </c>
      <c r="D85" s="134">
        <f t="shared" si="12"/>
        <v>0.64626986931292285</v>
      </c>
      <c r="E85" s="133">
        <f t="shared" si="1"/>
        <v>0.35373013068707715</v>
      </c>
      <c r="F85" s="135">
        <f t="shared" si="10"/>
        <v>2.667968671050569E-3</v>
      </c>
      <c r="G85" s="134">
        <f>C85*D85*0.25</f>
        <v>0.15679242703542601</v>
      </c>
      <c r="H85" s="136">
        <f t="shared" si="11"/>
        <v>1.5534709682810243E-3</v>
      </c>
      <c r="I85" s="136">
        <v>0</v>
      </c>
      <c r="J85" s="137">
        <f t="shared" si="7"/>
        <v>0</v>
      </c>
      <c r="K85" s="45"/>
      <c r="L85" s="45"/>
      <c r="N85" s="36"/>
      <c r="O85" s="36"/>
      <c r="P85" s="36"/>
      <c r="Q85" s="36"/>
      <c r="R85" s="36"/>
      <c r="S85" s="36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</row>
    <row r="86" spans="1:111" s="2" customFormat="1" ht="15" x14ac:dyDescent="0.25">
      <c r="A86" s="10"/>
      <c r="B86" s="74">
        <f t="shared" si="2"/>
        <v>3.0499999999999972</v>
      </c>
      <c r="C86" s="75">
        <f t="shared" si="9"/>
        <v>0.96996043206721061</v>
      </c>
      <c r="D86" s="76">
        <f t="shared" ref="D86:D105" si="13">D85*EXP(-0.05*HazardRate4)</f>
        <v>0.64361286942256768</v>
      </c>
      <c r="E86" s="75">
        <f t="shared" si="1"/>
        <v>0.35638713057743232</v>
      </c>
      <c r="F86" s="77">
        <f t="shared" si="10"/>
        <v>2.6569998903551717E-3</v>
      </c>
      <c r="G86" s="76"/>
      <c r="H86" s="78">
        <f t="shared" si="11"/>
        <v>1.54631085699086E-3</v>
      </c>
      <c r="I86" s="78">
        <f t="shared" si="6"/>
        <v>0.05</v>
      </c>
      <c r="J86" s="79">
        <f t="shared" si="7"/>
        <v>1.3284999451775858E-4</v>
      </c>
      <c r="K86" s="45"/>
      <c r="L86" s="45"/>
      <c r="N86" s="36"/>
      <c r="O86" s="36"/>
      <c r="P86" s="36"/>
      <c r="Q86" s="36"/>
      <c r="R86" s="36"/>
      <c r="S86" s="36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</row>
    <row r="87" spans="1:111" s="2" customFormat="1" ht="15" x14ac:dyDescent="0.25">
      <c r="A87" s="10"/>
      <c r="B87" s="74">
        <f t="shared" si="2"/>
        <v>3.099999999999997</v>
      </c>
      <c r="C87" s="75">
        <f t="shared" si="9"/>
        <v>0.96947557307602594</v>
      </c>
      <c r="D87" s="76">
        <f t="shared" si="13"/>
        <v>0.64096679321711958</v>
      </c>
      <c r="E87" s="75">
        <f t="shared" si="1"/>
        <v>0.35903320678288042</v>
      </c>
      <c r="F87" s="77">
        <f t="shared" si="10"/>
        <v>2.6460762054481002E-3</v>
      </c>
      <c r="G87" s="76"/>
      <c r="H87" s="78">
        <f t="shared" si="11"/>
        <v>1.5391837474077799E-3</v>
      </c>
      <c r="I87" s="78">
        <f t="shared" si="6"/>
        <v>0.1</v>
      </c>
      <c r="J87" s="79">
        <f t="shared" si="7"/>
        <v>2.6460762054481002E-4</v>
      </c>
      <c r="K87" s="45"/>
      <c r="L87" s="45"/>
      <c r="N87" s="36"/>
      <c r="O87" s="36"/>
      <c r="P87" s="36"/>
      <c r="Q87" s="36"/>
      <c r="R87" s="36"/>
      <c r="S87" s="36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</row>
    <row r="88" spans="1:111" s="2" customFormat="1" ht="15" x14ac:dyDescent="0.25">
      <c r="A88" s="10"/>
      <c r="B88" s="74">
        <f t="shared" si="2"/>
        <v>3.1499999999999968</v>
      </c>
      <c r="C88" s="75">
        <f t="shared" si="9"/>
        <v>0.96899095645373967</v>
      </c>
      <c r="D88" s="76">
        <f t="shared" si="13"/>
        <v>0.63833159578619214</v>
      </c>
      <c r="E88" s="75">
        <f t="shared" si="1"/>
        <v>0.36166840421380786</v>
      </c>
      <c r="F88" s="77">
        <f t="shared" si="10"/>
        <v>2.6351974309274384E-3</v>
      </c>
      <c r="G88" s="76"/>
      <c r="H88" s="78">
        <f t="shared" si="11"/>
        <v>1.5320894874232896E-3</v>
      </c>
      <c r="I88" s="78">
        <f t="shared" si="6"/>
        <v>0.15000000000000002</v>
      </c>
      <c r="J88" s="79">
        <f t="shared" si="7"/>
        <v>3.9527961463911582E-4</v>
      </c>
      <c r="K88" s="45"/>
      <c r="L88" s="45"/>
      <c r="N88" s="36"/>
      <c r="O88" s="36"/>
      <c r="P88" s="36"/>
      <c r="Q88" s="36"/>
      <c r="R88" s="36"/>
      <c r="S88" s="36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</row>
    <row r="89" spans="1:111" s="2" customFormat="1" ht="15" x14ac:dyDescent="0.25">
      <c r="A89" s="10"/>
      <c r="B89" s="74">
        <f t="shared" si="2"/>
        <v>3.1999999999999966</v>
      </c>
      <c r="C89" s="75">
        <f t="shared" ref="C89:C120" si="14">EXP(-IRate*B89)</f>
        <v>0.9685065820791976</v>
      </c>
      <c r="D89" s="76">
        <f t="shared" si="13"/>
        <v>0.63570723240403837</v>
      </c>
      <c r="E89" s="75">
        <f t="shared" ref="E89:E124" si="15">1-D89</f>
        <v>0.36429276759596163</v>
      </c>
      <c r="F89" s="77">
        <f t="shared" si="10"/>
        <v>2.6243633821537715E-3</v>
      </c>
      <c r="G89" s="76"/>
      <c r="H89" s="78">
        <f t="shared" si="11"/>
        <v>1.5250279256301313E-3</v>
      </c>
      <c r="I89" s="78">
        <f t="shared" si="6"/>
        <v>0.2</v>
      </c>
      <c r="J89" s="79">
        <f t="shared" si="7"/>
        <v>5.248726764307543E-4</v>
      </c>
      <c r="K89" s="45"/>
      <c r="L89" s="45"/>
      <c r="N89" s="36"/>
      <c r="O89" s="36"/>
      <c r="P89" s="36"/>
      <c r="Q89" s="36"/>
      <c r="R89" s="36"/>
      <c r="S89" s="36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</row>
    <row r="90" spans="1:111" s="2" customFormat="1" ht="15" x14ac:dyDescent="0.25">
      <c r="A90" s="10"/>
      <c r="B90" s="74">
        <f t="shared" ref="B90:B125" si="16">B89+0.05</f>
        <v>3.2499999999999964</v>
      </c>
      <c r="C90" s="75">
        <f t="shared" si="14"/>
        <v>0.96802244983130603</v>
      </c>
      <c r="D90" s="76">
        <f t="shared" si="13"/>
        <v>0.6330936585287914</v>
      </c>
      <c r="E90" s="75">
        <f t="shared" si="15"/>
        <v>0.3669063414712086</v>
      </c>
      <c r="F90" s="77">
        <f t="shared" ref="F90:F125" si="17">D89-D90</f>
        <v>2.6135738752469662E-3</v>
      </c>
      <c r="G90" s="76">
        <f>C90*D90*0.25</f>
        <v>0.15321221857542625</v>
      </c>
      <c r="H90" s="78">
        <f t="shared" ref="H90:H125" si="18">F90*C90*(1-Recovery)</f>
        <v>1.517998911319001E-3</v>
      </c>
      <c r="I90" s="78">
        <v>0</v>
      </c>
      <c r="J90" s="79">
        <f t="shared" si="7"/>
        <v>0</v>
      </c>
      <c r="K90" s="45"/>
      <c r="L90" s="45"/>
      <c r="N90" s="36"/>
      <c r="O90" s="36"/>
      <c r="P90" s="36"/>
      <c r="Q90" s="36"/>
      <c r="R90" s="36"/>
      <c r="S90" s="36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</row>
    <row r="91" spans="1:111" s="2" customFormat="1" ht="15" x14ac:dyDescent="0.25">
      <c r="A91" s="10"/>
      <c r="B91" s="74">
        <f t="shared" si="16"/>
        <v>3.2999999999999963</v>
      </c>
      <c r="C91" s="75">
        <f t="shared" si="14"/>
        <v>0.96753855958903201</v>
      </c>
      <c r="D91" s="76">
        <f t="shared" si="13"/>
        <v>0.6304908298017089</v>
      </c>
      <c r="E91" s="75">
        <f t="shared" si="15"/>
        <v>0.3695091701982911</v>
      </c>
      <c r="F91" s="77">
        <f t="shared" si="17"/>
        <v>2.6028287270825068E-3</v>
      </c>
      <c r="G91" s="76"/>
      <c r="H91" s="78">
        <f t="shared" si="18"/>
        <v>1.5110022944750173E-3</v>
      </c>
      <c r="I91" s="78">
        <f t="shared" si="6"/>
        <v>0.05</v>
      </c>
      <c r="J91" s="79">
        <f t="shared" si="7"/>
        <v>1.3014143635412534E-4</v>
      </c>
      <c r="K91" s="45"/>
      <c r="L91" s="45"/>
      <c r="N91" s="36"/>
      <c r="O91" s="36"/>
      <c r="P91" s="36"/>
      <c r="Q91" s="36"/>
      <c r="R91" s="36"/>
      <c r="S91" s="36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</row>
    <row r="92" spans="1:111" s="2" customFormat="1" ht="15" x14ac:dyDescent="0.25">
      <c r="A92" s="10"/>
      <c r="B92" s="74">
        <f t="shared" si="16"/>
        <v>3.3499999999999961</v>
      </c>
      <c r="C92" s="75">
        <f t="shared" si="14"/>
        <v>0.96705491123140297</v>
      </c>
      <c r="D92" s="76">
        <f t="shared" si="13"/>
        <v>0.62789870204641984</v>
      </c>
      <c r="E92" s="75">
        <f t="shared" si="15"/>
        <v>0.37210129795358016</v>
      </c>
      <c r="F92" s="77">
        <f t="shared" si="17"/>
        <v>2.5921277552890531E-3</v>
      </c>
      <c r="G92" s="76"/>
      <c r="H92" s="78">
        <f t="shared" si="18"/>
        <v>1.5040379257749068E-3</v>
      </c>
      <c r="I92" s="78">
        <f t="shared" ref="I92:I125" si="19">I91+0.05</f>
        <v>0.1</v>
      </c>
      <c r="J92" s="79">
        <f t="shared" si="7"/>
        <v>2.5921277552890535E-4</v>
      </c>
      <c r="K92" s="45"/>
      <c r="L92" s="45"/>
      <c r="N92" s="36"/>
      <c r="O92" s="36"/>
      <c r="P92" s="36"/>
      <c r="Q92" s="36"/>
      <c r="R92" s="36"/>
      <c r="S92" s="36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</row>
    <row r="93" spans="1:111" s="2" customFormat="1" ht="15" x14ac:dyDescent="0.25">
      <c r="A93" s="10"/>
      <c r="B93" s="74">
        <f t="shared" si="16"/>
        <v>3.3999999999999959</v>
      </c>
      <c r="C93" s="75">
        <f t="shared" si="14"/>
        <v>0.96657150463750674</v>
      </c>
      <c r="D93" s="76">
        <f t="shared" si="13"/>
        <v>0.62531723126817484</v>
      </c>
      <c r="E93" s="75">
        <f t="shared" si="15"/>
        <v>0.37468276873182516</v>
      </c>
      <c r="F93" s="77">
        <f t="shared" si="17"/>
        <v>2.5814707782449986E-3</v>
      </c>
      <c r="G93" s="76"/>
      <c r="H93" s="78">
        <f t="shared" si="18"/>
        <v>1.4971056565836144E-3</v>
      </c>
      <c r="I93" s="78">
        <f t="shared" si="19"/>
        <v>0.15000000000000002</v>
      </c>
      <c r="J93" s="79">
        <f t="shared" si="7"/>
        <v>3.8722061673674985E-4</v>
      </c>
      <c r="K93" s="45"/>
      <c r="L93" s="45"/>
      <c r="N93" s="36"/>
      <c r="O93" s="36"/>
      <c r="P93" s="36"/>
      <c r="Q93" s="36"/>
      <c r="R93" s="36"/>
      <c r="S93" s="36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</row>
    <row r="94" spans="1:111" s="2" customFormat="1" ht="15" x14ac:dyDescent="0.25">
      <c r="A94" s="10"/>
      <c r="B94" s="74">
        <f t="shared" si="16"/>
        <v>3.4499999999999957</v>
      </c>
      <c r="C94" s="75">
        <f t="shared" si="14"/>
        <v>0.96608833968649166</v>
      </c>
      <c r="D94" s="76">
        <f t="shared" si="13"/>
        <v>0.62274637365309971</v>
      </c>
      <c r="E94" s="75">
        <f t="shared" si="15"/>
        <v>0.37725362634690029</v>
      </c>
      <c r="F94" s="77">
        <f t="shared" si="17"/>
        <v>2.5708576150751394E-3</v>
      </c>
      <c r="G94" s="76"/>
      <c r="H94" s="78">
        <f t="shared" si="18"/>
        <v>1.4902053389509891E-3</v>
      </c>
      <c r="I94" s="78">
        <f t="shared" si="19"/>
        <v>0.2</v>
      </c>
      <c r="J94" s="79">
        <f t="shared" si="7"/>
        <v>5.1417152301502789E-4</v>
      </c>
      <c r="K94" s="45"/>
      <c r="L94" s="45"/>
      <c r="N94" s="36"/>
      <c r="O94" s="36"/>
      <c r="P94" s="36"/>
      <c r="Q94" s="36"/>
      <c r="R94" s="36"/>
      <c r="S94" s="36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</row>
    <row r="95" spans="1:111" s="2" customFormat="1" ht="15" x14ac:dyDescent="0.25">
      <c r="A95" s="10"/>
      <c r="B95" s="74">
        <f t="shared" si="16"/>
        <v>3.4999999999999956</v>
      </c>
      <c r="C95" s="75">
        <f t="shared" si="14"/>
        <v>0.96560541625756657</v>
      </c>
      <c r="D95" s="76">
        <f t="shared" si="13"/>
        <v>0.62018608556745136</v>
      </c>
      <c r="E95" s="75">
        <f t="shared" si="15"/>
        <v>0.37981391443254864</v>
      </c>
      <c r="F95" s="77">
        <f t="shared" si="17"/>
        <v>2.5602880856483434E-3</v>
      </c>
      <c r="G95" s="76">
        <f>C95*D95*0.25</f>
        <v>0.14971376082787741</v>
      </c>
      <c r="H95" s="78">
        <f t="shared" si="18"/>
        <v>1.483336825609054E-3</v>
      </c>
      <c r="I95" s="78">
        <v>0</v>
      </c>
      <c r="J95" s="79">
        <f t="shared" ref="J95:J125" si="20">I95*F95</f>
        <v>0</v>
      </c>
      <c r="K95" s="45"/>
      <c r="L95" s="45"/>
      <c r="N95" s="36"/>
      <c r="O95" s="36"/>
      <c r="P95" s="36"/>
      <c r="Q95" s="36"/>
      <c r="R95" s="36"/>
      <c r="S95" s="36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</row>
    <row r="96" spans="1:111" s="2" customFormat="1" ht="15" x14ac:dyDescent="0.25">
      <c r="A96" s="10"/>
      <c r="B96" s="74">
        <f t="shared" si="16"/>
        <v>3.5499999999999954</v>
      </c>
      <c r="C96" s="75">
        <f t="shared" si="14"/>
        <v>0.9651227342300005</v>
      </c>
      <c r="D96" s="76">
        <f t="shared" si="13"/>
        <v>0.6176363235568777</v>
      </c>
      <c r="E96" s="75">
        <f t="shared" si="15"/>
        <v>0.3823636764431223</v>
      </c>
      <c r="F96" s="77">
        <f t="shared" si="17"/>
        <v>2.549762010573664E-3</v>
      </c>
      <c r="G96" s="76"/>
      <c r="H96" s="78">
        <f t="shared" si="18"/>
        <v>1.4764999699683828E-3</v>
      </c>
      <c r="I96" s="78">
        <f t="shared" si="19"/>
        <v>0.05</v>
      </c>
      <c r="J96" s="79">
        <f t="shared" si="20"/>
        <v>1.2748810052868321E-4</v>
      </c>
      <c r="K96" s="45"/>
      <c r="L96" s="45"/>
      <c r="N96" s="36"/>
      <c r="O96" s="36"/>
      <c r="P96" s="36"/>
      <c r="Q96" s="36"/>
      <c r="R96" s="36"/>
      <c r="S96" s="36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</row>
    <row r="97" spans="1:111" s="2" customFormat="1" ht="15" x14ac:dyDescent="0.25">
      <c r="A97" s="10"/>
      <c r="B97" s="74">
        <f t="shared" si="16"/>
        <v>3.5999999999999952</v>
      </c>
      <c r="C97" s="75">
        <f t="shared" si="14"/>
        <v>0.96464029348312308</v>
      </c>
      <c r="D97" s="76">
        <f t="shared" si="13"/>
        <v>0.61509704434567958</v>
      </c>
      <c r="E97" s="75">
        <f t="shared" si="15"/>
        <v>0.38490295565432042</v>
      </c>
      <c r="F97" s="77">
        <f t="shared" si="17"/>
        <v>2.5392792111981199E-3</v>
      </c>
      <c r="G97" s="76"/>
      <c r="H97" s="78">
        <f t="shared" si="18"/>
        <v>1.4696946261154485E-3</v>
      </c>
      <c r="I97" s="78">
        <f t="shared" si="19"/>
        <v>0.1</v>
      </c>
      <c r="J97" s="79">
        <f t="shared" si="20"/>
        <v>2.5392792111981203E-4</v>
      </c>
      <c r="K97" s="45"/>
      <c r="L97" s="45"/>
      <c r="N97" s="36"/>
      <c r="O97" s="36"/>
      <c r="P97" s="36"/>
      <c r="Q97" s="36"/>
      <c r="R97" s="36"/>
      <c r="S97" s="36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</row>
    <row r="98" spans="1:111" s="2" customFormat="1" ht="15" x14ac:dyDescent="0.25">
      <c r="A98" s="10"/>
      <c r="B98" s="74">
        <f t="shared" si="16"/>
        <v>3.649999999999995</v>
      </c>
      <c r="C98" s="75">
        <f t="shared" si="14"/>
        <v>0.96415809389632401</v>
      </c>
      <c r="D98" s="76">
        <f t="shared" si="13"/>
        <v>0.61256820483607688</v>
      </c>
      <c r="E98" s="75">
        <f t="shared" si="15"/>
        <v>0.38743179516392312</v>
      </c>
      <c r="F98" s="77">
        <f t="shared" si="17"/>
        <v>2.5288395096026983E-3</v>
      </c>
      <c r="G98" s="76"/>
      <c r="H98" s="78">
        <f t="shared" si="18"/>
        <v>1.4629206488089514E-3</v>
      </c>
      <c r="I98" s="78">
        <f t="shared" si="19"/>
        <v>0.15000000000000002</v>
      </c>
      <c r="J98" s="79">
        <f t="shared" si="20"/>
        <v>3.7932592644040482E-4</v>
      </c>
      <c r="K98" s="45"/>
      <c r="L98" s="45"/>
      <c r="N98" s="36"/>
      <c r="O98" s="36"/>
      <c r="P98" s="36"/>
      <c r="Q98" s="36"/>
      <c r="R98" s="36"/>
      <c r="S98" s="36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</row>
    <row r="99" spans="1:111" s="2" customFormat="1" ht="15" x14ac:dyDescent="0.25">
      <c r="A99" s="10"/>
      <c r="B99" s="74">
        <f t="shared" si="16"/>
        <v>3.6999999999999948</v>
      </c>
      <c r="C99" s="75">
        <f t="shared" si="14"/>
        <v>0.9636761353490535</v>
      </c>
      <c r="D99" s="76">
        <f t="shared" si="13"/>
        <v>0.61004976210747663</v>
      </c>
      <c r="E99" s="75">
        <f t="shared" si="15"/>
        <v>0.38995023789252337</v>
      </c>
      <c r="F99" s="77">
        <f t="shared" si="17"/>
        <v>2.5184427286002453E-3</v>
      </c>
      <c r="G99" s="76"/>
      <c r="H99" s="78">
        <f t="shared" si="18"/>
        <v>1.4561778934772457E-3</v>
      </c>
      <c r="I99" s="78">
        <f t="shared" si="19"/>
        <v>0.2</v>
      </c>
      <c r="J99" s="79">
        <f t="shared" si="20"/>
        <v>5.0368854572004909E-4</v>
      </c>
      <c r="K99" s="45"/>
      <c r="L99" s="45"/>
      <c r="N99" s="36"/>
      <c r="O99" s="36"/>
      <c r="P99" s="36"/>
      <c r="Q99" s="36"/>
      <c r="R99" s="36"/>
      <c r="S99" s="36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</row>
    <row r="100" spans="1:111" s="2" customFormat="1" ht="15" x14ac:dyDescent="0.25">
      <c r="A100" s="10"/>
      <c r="B100" s="74">
        <f t="shared" si="16"/>
        <v>3.7499999999999947</v>
      </c>
      <c r="C100" s="75">
        <f t="shared" si="14"/>
        <v>0.96319441772082182</v>
      </c>
      <c r="D100" s="76">
        <f t="shared" si="13"/>
        <v>0.60754167341574472</v>
      </c>
      <c r="E100" s="75">
        <f t="shared" si="15"/>
        <v>0.39245832658425528</v>
      </c>
      <c r="F100" s="77">
        <f t="shared" si="17"/>
        <v>2.5080886917319134E-3</v>
      </c>
      <c r="G100" s="76">
        <f>C100*D100*0.25</f>
        <v>0.14629518709170297</v>
      </c>
      <c r="H100" s="78">
        <f t="shared" si="18"/>
        <v>1.4494662162149387E-3</v>
      </c>
      <c r="I100" s="78">
        <v>0</v>
      </c>
      <c r="J100" s="79">
        <f t="shared" si="20"/>
        <v>0</v>
      </c>
      <c r="K100" s="45"/>
      <c r="L100" s="45"/>
      <c r="N100" s="36"/>
      <c r="O100" s="36"/>
      <c r="P100" s="36"/>
      <c r="Q100" s="36"/>
      <c r="R100" s="36"/>
      <c r="S100" s="36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</row>
    <row r="101" spans="1:111" s="2" customFormat="1" ht="15" x14ac:dyDescent="0.25">
      <c r="A101" s="10"/>
      <c r="B101" s="74">
        <f t="shared" si="16"/>
        <v>3.7999999999999945</v>
      </c>
      <c r="C101" s="75">
        <f t="shared" si="14"/>
        <v>0.96271294089119963</v>
      </c>
      <c r="D101" s="76">
        <f t="shared" si="13"/>
        <v>0.60504389619248033</v>
      </c>
      <c r="E101" s="75">
        <f t="shared" si="15"/>
        <v>0.39495610380751967</v>
      </c>
      <c r="F101" s="77">
        <f t="shared" si="17"/>
        <v>2.4977772232643858E-3</v>
      </c>
      <c r="G101" s="76"/>
      <c r="H101" s="78">
        <f t="shared" si="18"/>
        <v>1.4427854737799467E-3</v>
      </c>
      <c r="I101" s="78">
        <f t="shared" si="19"/>
        <v>0.05</v>
      </c>
      <c r="J101" s="79">
        <f t="shared" si="20"/>
        <v>1.2488886116321929E-4</v>
      </c>
      <c r="K101" s="45"/>
      <c r="L101" s="45"/>
      <c r="N101" s="36"/>
      <c r="O101" s="36"/>
      <c r="P101" s="36"/>
      <c r="Q101" s="36"/>
      <c r="R101" s="36"/>
      <c r="S101" s="36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</row>
    <row r="102" spans="1:111" s="2" customFormat="1" ht="15" x14ac:dyDescent="0.25">
      <c r="A102" s="10"/>
      <c r="B102" s="74">
        <f t="shared" si="16"/>
        <v>3.8499999999999943</v>
      </c>
      <c r="C102" s="75">
        <f t="shared" si="14"/>
        <v>0.96223170473981756</v>
      </c>
      <c r="D102" s="76">
        <f t="shared" si="13"/>
        <v>0.60255638804429357</v>
      </c>
      <c r="E102" s="75">
        <f t="shared" si="15"/>
        <v>0.39744361195570643</v>
      </c>
      <c r="F102" s="77">
        <f t="shared" si="17"/>
        <v>2.4875081481867678E-3</v>
      </c>
      <c r="G102" s="76"/>
      <c r="H102" s="78">
        <f t="shared" si="18"/>
        <v>1.4361355235903643E-3</v>
      </c>
      <c r="I102" s="78">
        <f t="shared" si="19"/>
        <v>0.1</v>
      </c>
      <c r="J102" s="79">
        <f t="shared" si="20"/>
        <v>2.4875081481867678E-4</v>
      </c>
      <c r="K102" s="45"/>
      <c r="L102" s="45"/>
      <c r="N102" s="36"/>
      <c r="O102" s="36"/>
      <c r="P102" s="36"/>
      <c r="Q102" s="36"/>
      <c r="R102" s="36"/>
      <c r="S102" s="36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</row>
    <row r="103" spans="1:111" s="2" customFormat="1" ht="15" x14ac:dyDescent="0.25">
      <c r="A103" s="10"/>
      <c r="B103" s="74">
        <f t="shared" si="16"/>
        <v>3.8999999999999941</v>
      </c>
      <c r="C103" s="75">
        <f t="shared" si="14"/>
        <v>0.96175070914636673</v>
      </c>
      <c r="D103" s="76">
        <f t="shared" si="13"/>
        <v>0.60007910675208576</v>
      </c>
      <c r="E103" s="75">
        <f t="shared" si="15"/>
        <v>0.39992089324791424</v>
      </c>
      <c r="F103" s="77">
        <f t="shared" si="17"/>
        <v>2.4772812922078113E-3</v>
      </c>
      <c r="G103" s="76"/>
      <c r="H103" s="78">
        <f t="shared" si="18"/>
        <v>1.4295162237215342E-3</v>
      </c>
      <c r="I103" s="78">
        <f t="shared" si="19"/>
        <v>0.15000000000000002</v>
      </c>
      <c r="J103" s="79">
        <f t="shared" si="20"/>
        <v>3.7159219383117178E-4</v>
      </c>
      <c r="K103" s="45"/>
      <c r="L103" s="45"/>
      <c r="N103" s="36"/>
      <c r="O103" s="36"/>
      <c r="P103" s="36"/>
      <c r="Q103" s="36"/>
      <c r="R103" s="36"/>
      <c r="S103" s="36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</row>
    <row r="104" spans="1:111" s="2" customFormat="1" ht="15" x14ac:dyDescent="0.25">
      <c r="A104" s="10"/>
      <c r="B104" s="74">
        <f t="shared" si="16"/>
        <v>3.949999999999994</v>
      </c>
      <c r="C104" s="75">
        <f t="shared" si="14"/>
        <v>0.96126995399059822</v>
      </c>
      <c r="D104" s="76">
        <f t="shared" si="13"/>
        <v>0.59761201027033295</v>
      </c>
      <c r="E104" s="75">
        <f t="shared" si="15"/>
        <v>0.40238798972966705</v>
      </c>
      <c r="F104" s="77">
        <f t="shared" si="17"/>
        <v>2.4670964817528063E-3</v>
      </c>
      <c r="G104" s="76"/>
      <c r="H104" s="78">
        <f t="shared" si="18"/>
        <v>1.4229274329029321E-3</v>
      </c>
      <c r="I104" s="78">
        <f t="shared" si="19"/>
        <v>0.2</v>
      </c>
      <c r="J104" s="79">
        <f t="shared" si="20"/>
        <v>4.9341929635056132E-4</v>
      </c>
      <c r="K104" s="45"/>
      <c r="L104" s="45"/>
      <c r="N104" s="36"/>
      <c r="O104" s="36"/>
      <c r="P104" s="36"/>
      <c r="Q104" s="36"/>
      <c r="R104" s="36"/>
      <c r="S104" s="36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</row>
    <row r="105" spans="1:111" s="2" customFormat="1" ht="15" x14ac:dyDescent="0.25">
      <c r="A105" s="10"/>
      <c r="B105" s="132">
        <f t="shared" si="16"/>
        <v>3.9999999999999938</v>
      </c>
      <c r="C105" s="133">
        <f t="shared" si="14"/>
        <v>0.96078943915232329</v>
      </c>
      <c r="D105" s="134">
        <f t="shared" si="13"/>
        <v>0.59515505672637259</v>
      </c>
      <c r="E105" s="133">
        <f t="shared" si="15"/>
        <v>0.40484494327362741</v>
      </c>
      <c r="F105" s="135">
        <f t="shared" si="17"/>
        <v>2.4569535439603607E-3</v>
      </c>
      <c r="G105" s="134">
        <f>C105*D105*0.25</f>
        <v>0.14295467329020017</v>
      </c>
      <c r="H105" s="136">
        <f t="shared" si="18"/>
        <v>1.4163690105149927E-3</v>
      </c>
      <c r="I105" s="136">
        <v>0</v>
      </c>
      <c r="J105" s="137">
        <f t="shared" si="20"/>
        <v>0</v>
      </c>
      <c r="K105" s="45"/>
      <c r="L105" s="45"/>
      <c r="N105" s="36"/>
      <c r="O105" s="36"/>
      <c r="P105" s="36"/>
      <c r="Q105" s="36"/>
      <c r="R105" s="36"/>
      <c r="S105" s="36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</row>
    <row r="106" spans="1:111" s="2" customFormat="1" ht="15" x14ac:dyDescent="0.25">
      <c r="A106" s="10"/>
      <c r="B106" s="74">
        <f t="shared" si="16"/>
        <v>4.0499999999999936</v>
      </c>
      <c r="C106" s="75">
        <f t="shared" si="14"/>
        <v>0.96030916451141302</v>
      </c>
      <c r="D106" s="76">
        <f t="shared" ref="D106:D125" si="21">D105*EXP(-0.05*HazardRate5)</f>
        <v>0.59270820441969219</v>
      </c>
      <c r="E106" s="75">
        <f t="shared" si="15"/>
        <v>0.40729179558030781</v>
      </c>
      <c r="F106" s="77">
        <f t="shared" si="17"/>
        <v>2.4468523066804027E-3</v>
      </c>
      <c r="G106" s="76"/>
      <c r="H106" s="78">
        <f t="shared" si="18"/>
        <v>1.4098408165866487E-3</v>
      </c>
      <c r="I106" s="78">
        <f t="shared" si="19"/>
        <v>0.05</v>
      </c>
      <c r="J106" s="79">
        <f t="shared" si="20"/>
        <v>1.2234261533402015E-4</v>
      </c>
      <c r="K106" s="45"/>
      <c r="L106" s="45"/>
      <c r="N106" s="36"/>
      <c r="O106" s="36"/>
      <c r="P106" s="36"/>
      <c r="Q106" s="36"/>
      <c r="R106" s="36"/>
      <c r="S106" s="36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</row>
    <row r="107" spans="1:111" s="2" customFormat="1" ht="15" x14ac:dyDescent="0.25">
      <c r="A107" s="10"/>
      <c r="B107" s="74">
        <f t="shared" si="16"/>
        <v>4.0999999999999934</v>
      </c>
      <c r="C107" s="75">
        <f t="shared" si="14"/>
        <v>0.95982912994779901</v>
      </c>
      <c r="D107" s="76">
        <f t="shared" si="21"/>
        <v>0.59027141182122234</v>
      </c>
      <c r="E107" s="75">
        <f t="shared" si="15"/>
        <v>0.40972858817877766</v>
      </c>
      <c r="F107" s="77">
        <f t="shared" si="17"/>
        <v>2.4367925984698502E-3</v>
      </c>
      <c r="G107" s="76"/>
      <c r="H107" s="78">
        <f t="shared" si="18"/>
        <v>1.4033427117915314E-3</v>
      </c>
      <c r="I107" s="78">
        <f t="shared" si="19"/>
        <v>0.1</v>
      </c>
      <c r="J107" s="79">
        <f t="shared" si="20"/>
        <v>2.4367925984698503E-4</v>
      </c>
      <c r="K107" s="45"/>
      <c r="L107" s="45"/>
      <c r="N107" s="36"/>
      <c r="O107" s="36"/>
      <c r="P107" s="36"/>
      <c r="Q107" s="36"/>
      <c r="R107" s="36"/>
      <c r="S107" s="36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</row>
    <row r="108" spans="1:111" s="2" customFormat="1" ht="15" x14ac:dyDescent="0.25">
      <c r="A108" s="10"/>
      <c r="B108" s="74">
        <f t="shared" si="16"/>
        <v>4.1499999999999932</v>
      </c>
      <c r="C108" s="75">
        <f t="shared" si="14"/>
        <v>0.95934933534147238</v>
      </c>
      <c r="D108" s="76">
        <f t="shared" si="21"/>
        <v>0.58784463757263139</v>
      </c>
      <c r="E108" s="75">
        <f t="shared" si="15"/>
        <v>0.41215536242736861</v>
      </c>
      <c r="F108" s="77">
        <f t="shared" si="17"/>
        <v>2.426774248590946E-3</v>
      </c>
      <c r="G108" s="76"/>
      <c r="H108" s="78">
        <f t="shared" si="18"/>
        <v>1.396874557445715E-3</v>
      </c>
      <c r="I108" s="78">
        <f t="shared" si="19"/>
        <v>0.15000000000000002</v>
      </c>
      <c r="J108" s="79">
        <f t="shared" si="20"/>
        <v>3.6401613728864198E-4</v>
      </c>
      <c r="K108" s="45"/>
      <c r="L108" s="45"/>
      <c r="N108" s="36"/>
      <c r="O108" s="36"/>
      <c r="P108" s="36"/>
      <c r="Q108" s="36"/>
      <c r="R108" s="36"/>
      <c r="S108" s="36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</row>
    <row r="109" spans="1:111" s="2" customFormat="1" ht="15" x14ac:dyDescent="0.25">
      <c r="A109" s="10"/>
      <c r="B109" s="74">
        <f t="shared" si="16"/>
        <v>4.1999999999999931</v>
      </c>
      <c r="C109" s="75">
        <f t="shared" si="14"/>
        <v>0.95886978057248462</v>
      </c>
      <c r="D109" s="76">
        <f t="shared" si="21"/>
        <v>0.58542784048562357</v>
      </c>
      <c r="E109" s="75">
        <f t="shared" si="15"/>
        <v>0.41457215951437643</v>
      </c>
      <c r="F109" s="77">
        <f t="shared" si="17"/>
        <v>2.4167970870078159E-3</v>
      </c>
      <c r="G109" s="76"/>
      <c r="H109" s="78">
        <f t="shared" si="18"/>
        <v>1.3904362155044425E-3</v>
      </c>
      <c r="I109" s="78">
        <f t="shared" si="19"/>
        <v>0.2</v>
      </c>
      <c r="J109" s="79">
        <f t="shared" si="20"/>
        <v>4.8335941740156323E-4</v>
      </c>
      <c r="K109" s="45"/>
      <c r="L109" s="45"/>
      <c r="N109" s="36"/>
      <c r="O109" s="36"/>
      <c r="P109" s="36"/>
      <c r="Q109" s="36"/>
      <c r="R109" s="36"/>
      <c r="S109" s="36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</row>
    <row r="110" spans="1:111" s="2" customFormat="1" ht="15" x14ac:dyDescent="0.25">
      <c r="A110" s="10"/>
      <c r="B110" s="74">
        <f t="shared" si="16"/>
        <v>4.2499999999999929</v>
      </c>
      <c r="C110" s="75">
        <f t="shared" si="14"/>
        <v>0.95839046552094698</v>
      </c>
      <c r="D110" s="76">
        <f t="shared" si="21"/>
        <v>0.58302097954123988</v>
      </c>
      <c r="E110" s="75">
        <f t="shared" si="15"/>
        <v>0.41697902045876012</v>
      </c>
      <c r="F110" s="77">
        <f t="shared" si="17"/>
        <v>2.406860944383693E-3</v>
      </c>
      <c r="G110" s="76">
        <f>C110*D110*0.25</f>
        <v>0.13969043699775185</v>
      </c>
      <c r="H110" s="78">
        <f t="shared" si="18"/>
        <v>1.3840275485592442E-3</v>
      </c>
      <c r="I110" s="78">
        <v>0</v>
      </c>
      <c r="J110" s="79">
        <f t="shared" si="20"/>
        <v>0</v>
      </c>
      <c r="K110" s="45"/>
      <c r="L110" s="45"/>
      <c r="N110" s="36"/>
      <c r="O110" s="36"/>
      <c r="P110" s="36"/>
      <c r="Q110" s="36"/>
      <c r="R110" s="36"/>
      <c r="S110" s="36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</row>
    <row r="111" spans="1:111" s="2" customFormat="1" ht="15" x14ac:dyDescent="0.25">
      <c r="A111" s="10"/>
      <c r="B111" s="74">
        <f t="shared" si="16"/>
        <v>4.2999999999999927</v>
      </c>
      <c r="C111" s="75">
        <f t="shared" si="14"/>
        <v>0.95791139006703074</v>
      </c>
      <c r="D111" s="76">
        <f t="shared" si="21"/>
        <v>0.58062401388916207</v>
      </c>
      <c r="E111" s="75">
        <f t="shared" si="15"/>
        <v>0.41937598611083793</v>
      </c>
      <c r="F111" s="77">
        <f t="shared" si="17"/>
        <v>2.3969656520778093E-3</v>
      </c>
      <c r="G111" s="76"/>
      <c r="H111" s="78">
        <f t="shared" si="18"/>
        <v>1.3776484198348685E-3</v>
      </c>
      <c r="I111" s="78">
        <f t="shared" si="19"/>
        <v>0.05</v>
      </c>
      <c r="J111" s="79">
        <f t="shared" si="20"/>
        <v>1.1984828260389047E-4</v>
      </c>
      <c r="K111" s="45"/>
      <c r="L111" s="45"/>
      <c r="N111" s="36"/>
      <c r="O111" s="36"/>
      <c r="P111" s="36"/>
      <c r="Q111" s="36"/>
      <c r="R111" s="36"/>
      <c r="S111" s="36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</row>
    <row r="112" spans="1:111" s="2" customFormat="1" ht="15" x14ac:dyDescent="0.25">
      <c r="A112" s="10"/>
      <c r="B112" s="74">
        <f t="shared" si="16"/>
        <v>4.3499999999999925</v>
      </c>
      <c r="C112" s="75">
        <f t="shared" si="14"/>
        <v>0.95743255409096695</v>
      </c>
      <c r="D112" s="76">
        <f t="shared" si="21"/>
        <v>0.57823690284701912</v>
      </c>
      <c r="E112" s="75">
        <f t="shared" si="15"/>
        <v>0.42176309715298088</v>
      </c>
      <c r="F112" s="77">
        <f t="shared" si="17"/>
        <v>2.3871110421429531E-3</v>
      </c>
      <c r="G112" s="76"/>
      <c r="H112" s="78">
        <f t="shared" si="18"/>
        <v>1.3712986931866064E-3</v>
      </c>
      <c r="I112" s="78">
        <f t="shared" si="19"/>
        <v>0.1</v>
      </c>
      <c r="J112" s="79">
        <f t="shared" si="20"/>
        <v>2.3871110421429533E-4</v>
      </c>
      <c r="K112" s="45"/>
      <c r="L112" s="45"/>
      <c r="N112" s="36"/>
      <c r="O112" s="36"/>
      <c r="P112" s="36"/>
      <c r="Q112" s="36"/>
      <c r="R112" s="36"/>
      <c r="S112" s="36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</row>
    <row r="113" spans="1:111" s="2" customFormat="1" ht="15" x14ac:dyDescent="0.25">
      <c r="A113" s="10"/>
      <c r="B113" s="74">
        <f t="shared" si="16"/>
        <v>4.3999999999999924</v>
      </c>
      <c r="C113" s="75">
        <f t="shared" si="14"/>
        <v>0.95695395747304679</v>
      </c>
      <c r="D113" s="76">
        <f t="shared" si="21"/>
        <v>0.57585960589969698</v>
      </c>
      <c r="E113" s="75">
        <f t="shared" si="15"/>
        <v>0.42414039410030302</v>
      </c>
      <c r="F113" s="77">
        <f t="shared" si="17"/>
        <v>2.3772969473221384E-3</v>
      </c>
      <c r="G113" s="76"/>
      <c r="H113" s="78">
        <f t="shared" si="18"/>
        <v>1.3649782330971082E-3</v>
      </c>
      <c r="I113" s="78">
        <f t="shared" si="19"/>
        <v>0.15000000000000002</v>
      </c>
      <c r="J113" s="79">
        <f t="shared" si="20"/>
        <v>3.5659454209832083E-4</v>
      </c>
      <c r="K113" s="45"/>
      <c r="L113" s="45"/>
      <c r="N113" s="36"/>
      <c r="O113" s="36"/>
      <c r="P113" s="36"/>
      <c r="Q113" s="36"/>
      <c r="R113" s="36"/>
      <c r="S113" s="36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</row>
    <row r="114" spans="1:111" s="2" customFormat="1" ht="15" x14ac:dyDescent="0.25">
      <c r="A114" s="10"/>
      <c r="B114" s="74">
        <f t="shared" si="16"/>
        <v>4.4499999999999922</v>
      </c>
      <c r="C114" s="75">
        <f t="shared" si="14"/>
        <v>0.95647560009362087</v>
      </c>
      <c r="D114" s="76">
        <f t="shared" si="21"/>
        <v>0.57349208269865071</v>
      </c>
      <c r="E114" s="75">
        <f t="shared" si="15"/>
        <v>0.42650791730134929</v>
      </c>
      <c r="F114" s="77">
        <f t="shared" si="17"/>
        <v>2.3675232010462732E-3</v>
      </c>
      <c r="G114" s="76"/>
      <c r="H114" s="78">
        <f t="shared" si="18"/>
        <v>1.3586869046737825E-3</v>
      </c>
      <c r="I114" s="78">
        <f t="shared" si="19"/>
        <v>0.2</v>
      </c>
      <c r="J114" s="79">
        <f t="shared" si="20"/>
        <v>4.7350464020925467E-4</v>
      </c>
      <c r="K114" s="45"/>
      <c r="L114" s="45"/>
      <c r="N114" s="36"/>
      <c r="O114" s="36"/>
      <c r="P114" s="36"/>
      <c r="Q114" s="36"/>
      <c r="R114" s="36"/>
      <c r="S114" s="36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</row>
    <row r="115" spans="1:111" s="2" customFormat="1" ht="15" x14ac:dyDescent="0.25">
      <c r="A115" s="10"/>
      <c r="B115" s="74">
        <f t="shared" si="16"/>
        <v>4.499999999999992</v>
      </c>
      <c r="C115" s="75">
        <f t="shared" si="14"/>
        <v>0.95599748183309996</v>
      </c>
      <c r="D115" s="76">
        <f t="shared" si="21"/>
        <v>0.57113429306121966</v>
      </c>
      <c r="E115" s="75">
        <f t="shared" si="15"/>
        <v>0.42886570693878034</v>
      </c>
      <c r="F115" s="77">
        <f t="shared" si="17"/>
        <v>2.3577896374310514E-3</v>
      </c>
      <c r="G115" s="76">
        <f>C115*D115*0.25</f>
        <v>0.13650073648876343</v>
      </c>
      <c r="H115" s="78">
        <f t="shared" si="18"/>
        <v>1.3524245736457577E-3</v>
      </c>
      <c r="I115" s="78">
        <v>0</v>
      </c>
      <c r="J115" s="79">
        <f t="shared" si="20"/>
        <v>0</v>
      </c>
      <c r="K115" s="45"/>
      <c r="L115" s="45"/>
      <c r="N115" s="36"/>
      <c r="O115" s="36"/>
      <c r="P115" s="36"/>
      <c r="Q115" s="36"/>
      <c r="R115" s="36"/>
      <c r="S115" s="36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</row>
    <row r="116" spans="1:111" s="2" customFormat="1" ht="15" x14ac:dyDescent="0.25">
      <c r="A116" s="10"/>
      <c r="B116" s="74">
        <f t="shared" si="16"/>
        <v>4.5499999999999918</v>
      </c>
      <c r="C116" s="75">
        <f t="shared" si="14"/>
        <v>0.95551960257195456</v>
      </c>
      <c r="D116" s="76">
        <f t="shared" si="21"/>
        <v>0.5687861969699457</v>
      </c>
      <c r="E116" s="75">
        <f t="shared" si="15"/>
        <v>0.4312138030300543</v>
      </c>
      <c r="F116" s="77">
        <f t="shared" si="17"/>
        <v>2.3480960912739546E-3</v>
      </c>
      <c r="G116" s="76"/>
      <c r="H116" s="78">
        <f t="shared" si="18"/>
        <v>1.3461911063609095E-3</v>
      </c>
      <c r="I116" s="78">
        <f t="shared" si="19"/>
        <v>0.05</v>
      </c>
      <c r="J116" s="79">
        <f t="shared" si="20"/>
        <v>1.1740480456369773E-4</v>
      </c>
      <c r="K116" s="45"/>
      <c r="L116" s="45"/>
      <c r="N116" s="36"/>
      <c r="O116" s="36"/>
      <c r="P116" s="36"/>
      <c r="Q116" s="36"/>
      <c r="R116" s="36"/>
      <c r="S116" s="36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</row>
    <row r="117" spans="1:111" s="2" customFormat="1" ht="15" x14ac:dyDescent="0.25">
      <c r="A117" s="10"/>
      <c r="B117" s="74">
        <f t="shared" si="16"/>
        <v>4.5999999999999917</v>
      </c>
      <c r="C117" s="75">
        <f t="shared" si="14"/>
        <v>0.95504196219071469</v>
      </c>
      <c r="D117" s="76">
        <f t="shared" si="21"/>
        <v>0.56644775457189389</v>
      </c>
      <c r="E117" s="75">
        <f t="shared" si="15"/>
        <v>0.43355224542810611</v>
      </c>
      <c r="F117" s="77">
        <f t="shared" si="17"/>
        <v>2.3384423980518099E-3</v>
      </c>
      <c r="G117" s="76"/>
      <c r="H117" s="78">
        <f t="shared" si="18"/>
        <v>1.3399863697832165E-3</v>
      </c>
      <c r="I117" s="78">
        <f t="shared" si="19"/>
        <v>0.1</v>
      </c>
      <c r="J117" s="79">
        <f t="shared" si="20"/>
        <v>2.3384423980518101E-4</v>
      </c>
      <c r="K117" s="45"/>
      <c r="L117" s="45"/>
      <c r="N117" s="36"/>
      <c r="O117" s="36"/>
      <c r="P117" s="36"/>
      <c r="Q117" s="36"/>
      <c r="R117" s="36"/>
      <c r="S117" s="36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</row>
    <row r="118" spans="1:111" s="2" customFormat="1" ht="15" x14ac:dyDescent="0.25">
      <c r="A118" s="10"/>
      <c r="B118" s="74">
        <f t="shared" si="16"/>
        <v>4.6499999999999915</v>
      </c>
      <c r="C118" s="75">
        <f t="shared" si="14"/>
        <v>0.95456456056997041</v>
      </c>
      <c r="D118" s="76">
        <f t="shared" si="21"/>
        <v>0.5641189261779761</v>
      </c>
      <c r="E118" s="75">
        <f t="shared" si="15"/>
        <v>0.4358810738220239</v>
      </c>
      <c r="F118" s="77">
        <f t="shared" si="17"/>
        <v>2.3288283939177923E-3</v>
      </c>
      <c r="G118" s="76"/>
      <c r="H118" s="78">
        <f t="shared" si="18"/>
        <v>1.3338102314898045E-3</v>
      </c>
      <c r="I118" s="78">
        <f t="shared" si="19"/>
        <v>0.15000000000000002</v>
      </c>
      <c r="J118" s="79">
        <f t="shared" si="20"/>
        <v>3.4932425908766889E-4</v>
      </c>
      <c r="K118" s="45"/>
      <c r="L118" s="45"/>
      <c r="N118" s="36"/>
      <c r="O118" s="36"/>
      <c r="P118" s="36"/>
      <c r="Q118" s="36"/>
      <c r="R118" s="36"/>
      <c r="S118" s="36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</row>
    <row r="119" spans="1:111" s="2" customFormat="1" ht="15" x14ac:dyDescent="0.25">
      <c r="A119" s="10"/>
      <c r="B119" s="74">
        <f t="shared" si="16"/>
        <v>4.6999999999999913</v>
      </c>
      <c r="C119" s="75">
        <f t="shared" si="14"/>
        <v>0.9540873975903712</v>
      </c>
      <c r="D119" s="76">
        <f t="shared" si="21"/>
        <v>0.56179967226227723</v>
      </c>
      <c r="E119" s="75">
        <f t="shared" si="15"/>
        <v>0.43820032773772277</v>
      </c>
      <c r="F119" s="77">
        <f t="shared" si="17"/>
        <v>2.3192539156988712E-3</v>
      </c>
      <c r="G119" s="76"/>
      <c r="H119" s="78">
        <f t="shared" si="18"/>
        <v>1.3276625596682484E-3</v>
      </c>
      <c r="I119" s="78">
        <f t="shared" si="19"/>
        <v>0.2</v>
      </c>
      <c r="J119" s="79">
        <f t="shared" si="20"/>
        <v>4.6385078313977425E-4</v>
      </c>
      <c r="K119" s="45"/>
      <c r="L119" s="45"/>
      <c r="N119" s="36"/>
      <c r="O119" s="36"/>
      <c r="P119" s="36"/>
      <c r="Q119" s="36"/>
      <c r="R119" s="36"/>
      <c r="S119" s="36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</row>
    <row r="120" spans="1:111" s="2" customFormat="1" ht="15" x14ac:dyDescent="0.25">
      <c r="A120" s="10"/>
      <c r="B120" s="74">
        <f t="shared" si="16"/>
        <v>4.7499999999999911</v>
      </c>
      <c r="C120" s="75">
        <f t="shared" si="14"/>
        <v>0.95361047313262637</v>
      </c>
      <c r="D120" s="76">
        <f t="shared" si="21"/>
        <v>0.55948995346138464</v>
      </c>
      <c r="E120" s="75">
        <f t="shared" si="15"/>
        <v>0.44051004653861536</v>
      </c>
      <c r="F120" s="77">
        <f t="shared" si="17"/>
        <v>2.3097188008925906E-3</v>
      </c>
      <c r="G120" s="76">
        <f>C120*D120*0.25</f>
        <v>0.13338386980831554</v>
      </c>
      <c r="H120" s="78">
        <f t="shared" si="18"/>
        <v>1.3215432231135035E-3</v>
      </c>
      <c r="I120" s="78">
        <v>0</v>
      </c>
      <c r="J120" s="79">
        <f t="shared" si="20"/>
        <v>0</v>
      </c>
      <c r="K120" s="45"/>
      <c r="L120" s="45"/>
      <c r="N120" s="36"/>
      <c r="O120" s="36"/>
      <c r="P120" s="36"/>
      <c r="Q120" s="36"/>
      <c r="R120" s="36"/>
      <c r="S120" s="36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</row>
    <row r="121" spans="1:111" s="2" customFormat="1" ht="15" x14ac:dyDescent="0.25">
      <c r="A121" s="10"/>
      <c r="B121" s="74">
        <f t="shared" si="16"/>
        <v>4.7999999999999909</v>
      </c>
      <c r="C121" s="75">
        <f>EXP(-IRate*B121)</f>
        <v>0.95313378707750485</v>
      </c>
      <c r="D121" s="76">
        <f t="shared" si="21"/>
        <v>0.55718973057371979</v>
      </c>
      <c r="E121" s="75">
        <f t="shared" si="15"/>
        <v>0.44281026942628021</v>
      </c>
      <c r="F121" s="77">
        <f t="shared" si="17"/>
        <v>2.3002228876648489E-3</v>
      </c>
      <c r="G121" s="76"/>
      <c r="H121" s="78">
        <f t="shared" si="18"/>
        <v>1.3154520912254108E-3</v>
      </c>
      <c r="I121" s="78">
        <f t="shared" si="19"/>
        <v>0.05</v>
      </c>
      <c r="J121" s="79">
        <f t="shared" si="20"/>
        <v>1.1501114438324245E-4</v>
      </c>
      <c r="K121" s="45"/>
      <c r="L121" s="45"/>
      <c r="N121" s="36"/>
      <c r="O121" s="36"/>
      <c r="P121" s="36"/>
      <c r="Q121" s="36"/>
      <c r="R121" s="36"/>
      <c r="S121" s="36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</row>
    <row r="122" spans="1:111" s="2" customFormat="1" ht="15" x14ac:dyDescent="0.25">
      <c r="A122" s="10"/>
      <c r="B122" s="74">
        <f t="shared" si="16"/>
        <v>4.8499999999999908</v>
      </c>
      <c r="C122" s="75">
        <f>EXP(-IRate*B122)</f>
        <v>0.95265733930583496</v>
      </c>
      <c r="D122" s="76">
        <f t="shared" si="21"/>
        <v>0.55489896455887311</v>
      </c>
      <c r="E122" s="75">
        <f t="shared" si="15"/>
        <v>0.44510103544112689</v>
      </c>
      <c r="F122" s="77">
        <f t="shared" si="17"/>
        <v>2.2907660148466791E-3</v>
      </c>
      <c r="G122" s="76"/>
      <c r="H122" s="78">
        <f t="shared" si="18"/>
        <v>1.3093890340056407E-3</v>
      </c>
      <c r="I122" s="78">
        <f t="shared" si="19"/>
        <v>0.1</v>
      </c>
      <c r="J122" s="79">
        <f t="shared" si="20"/>
        <v>2.2907660148466791E-4</v>
      </c>
      <c r="K122" s="45"/>
      <c r="L122" s="45"/>
      <c r="N122" s="36"/>
      <c r="O122" s="36"/>
      <c r="P122" s="36"/>
      <c r="Q122" s="36"/>
      <c r="R122" s="36"/>
      <c r="S122" s="36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</row>
    <row r="123" spans="1:111" s="2" customFormat="1" ht="15" x14ac:dyDescent="0.25">
      <c r="A123" s="10"/>
      <c r="B123" s="74">
        <f t="shared" si="16"/>
        <v>4.8999999999999906</v>
      </c>
      <c r="C123" s="75">
        <f>EXP(-IRate*B123)</f>
        <v>0.95218112969850499</v>
      </c>
      <c r="D123" s="76">
        <f t="shared" si="21"/>
        <v>0.5526176165369413</v>
      </c>
      <c r="E123" s="75">
        <f t="shared" si="15"/>
        <v>0.4473823834630587</v>
      </c>
      <c r="F123" s="77">
        <f t="shared" si="17"/>
        <v>2.2813480219318061E-3</v>
      </c>
      <c r="G123" s="76"/>
      <c r="H123" s="78">
        <f t="shared" si="18"/>
        <v>1.3033539220550859E-3</v>
      </c>
      <c r="I123" s="78">
        <f t="shared" si="19"/>
        <v>0.15000000000000002</v>
      </c>
      <c r="J123" s="79">
        <f t="shared" si="20"/>
        <v>3.4220220328977098E-4</v>
      </c>
      <c r="K123" s="45"/>
      <c r="L123" s="45"/>
      <c r="N123" s="36"/>
      <c r="O123" s="36"/>
      <c r="P123" s="36"/>
      <c r="Q123" s="36"/>
      <c r="R123" s="36"/>
      <c r="S123" s="36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</row>
    <row r="124" spans="1:111" s="2" customFormat="1" ht="15" x14ac:dyDescent="0.25">
      <c r="A124" s="10"/>
      <c r="B124" s="74">
        <f t="shared" si="16"/>
        <v>4.9499999999999904</v>
      </c>
      <c r="C124" s="75">
        <f>EXP(-IRate*B124)</f>
        <v>0.95170515813646228</v>
      </c>
      <c r="D124" s="76">
        <f t="shared" si="21"/>
        <v>0.55034564778786743</v>
      </c>
      <c r="E124" s="75">
        <f t="shared" si="15"/>
        <v>0.44965435221213257</v>
      </c>
      <c r="F124" s="77">
        <f t="shared" si="17"/>
        <v>2.2719687490738716E-3</v>
      </c>
      <c r="G124" s="76"/>
      <c r="H124" s="78">
        <f t="shared" si="18"/>
        <v>1.2973466265710696E-3</v>
      </c>
      <c r="I124" s="78">
        <f t="shared" si="19"/>
        <v>0.2</v>
      </c>
      <c r="J124" s="79">
        <f t="shared" si="20"/>
        <v>4.5439374981477433E-4</v>
      </c>
      <c r="K124" s="45"/>
      <c r="L124" s="45"/>
      <c r="N124" s="36"/>
      <c r="O124" s="36"/>
      <c r="P124" s="36"/>
      <c r="Q124" s="36"/>
      <c r="R124" s="36"/>
      <c r="S124" s="36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</row>
    <row r="125" spans="1:111" s="2" customFormat="1" ht="15.75" thickBot="1" x14ac:dyDescent="0.3">
      <c r="A125" s="10"/>
      <c r="B125" s="144">
        <f t="shared" si="16"/>
        <v>4.9999999999999902</v>
      </c>
      <c r="C125" s="145">
        <f>EXP(-IRate*B125)</f>
        <v>0.95122942450071413</v>
      </c>
      <c r="D125" s="146">
        <f t="shared" si="21"/>
        <v>0.54808301975078366</v>
      </c>
      <c r="E125" s="145">
        <f>1-D125</f>
        <v>0.45191698024921634</v>
      </c>
      <c r="F125" s="147">
        <f t="shared" si="17"/>
        <v>2.2626280370837693E-3</v>
      </c>
      <c r="G125" s="146">
        <f>C125*D125*0.25</f>
        <v>0.13033817386403787</v>
      </c>
      <c r="H125" s="148">
        <f t="shared" si="18"/>
        <v>1.2913670193446245E-3</v>
      </c>
      <c r="I125" s="148">
        <f t="shared" si="19"/>
        <v>0.25</v>
      </c>
      <c r="J125" s="149">
        <f t="shared" si="20"/>
        <v>5.6565700927094231E-4</v>
      </c>
      <c r="K125" s="45"/>
      <c r="L125" s="45"/>
      <c r="N125" s="36"/>
      <c r="O125" s="36"/>
      <c r="P125" s="36"/>
      <c r="Q125" s="36"/>
      <c r="R125" s="36"/>
      <c r="S125" s="36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</row>
    <row r="126" spans="1:111" s="2" customFormat="1" ht="15" x14ac:dyDescent="0.25">
      <c r="A126" s="10"/>
      <c r="B126" s="46"/>
      <c r="C126" s="46"/>
      <c r="D126" s="46"/>
      <c r="E126" s="46"/>
      <c r="F126" s="46"/>
      <c r="G126" s="46"/>
      <c r="H126" s="46"/>
      <c r="I126" s="46"/>
      <c r="J126" s="10"/>
      <c r="K126" s="16"/>
      <c r="L126" s="36"/>
      <c r="M126" s="36"/>
      <c r="N126" s="36"/>
      <c r="O126" s="36"/>
      <c r="P126" s="36"/>
      <c r="Q126" s="36"/>
      <c r="R126" s="36"/>
      <c r="S126" s="36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</row>
    <row r="127" spans="1:111" s="2" customFormat="1" ht="15" x14ac:dyDescent="0.25">
      <c r="A127" s="10"/>
      <c r="B127" s="46"/>
      <c r="C127" s="46"/>
      <c r="D127" s="46"/>
      <c r="E127" s="46"/>
      <c r="F127" s="46"/>
      <c r="G127" s="46"/>
      <c r="H127" s="46"/>
      <c r="I127" s="46"/>
      <c r="J127" s="10"/>
      <c r="K127" s="16"/>
      <c r="L127" s="36"/>
      <c r="M127" s="36"/>
      <c r="N127" s="36"/>
      <c r="O127" s="36"/>
      <c r="P127" s="36"/>
      <c r="Q127" s="36"/>
      <c r="R127" s="36"/>
      <c r="S127" s="36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</row>
    <row r="128" spans="1:111" s="2" customFormat="1" ht="15" x14ac:dyDescent="0.25">
      <c r="A128" s="10"/>
      <c r="B128" s="46"/>
      <c r="C128" s="46"/>
      <c r="D128" s="46"/>
      <c r="E128" s="46"/>
      <c r="F128" s="46"/>
      <c r="G128" s="46"/>
      <c r="H128" s="46"/>
      <c r="I128" s="46"/>
      <c r="J128" s="10"/>
      <c r="K128" s="16"/>
      <c r="L128" s="36"/>
      <c r="M128" s="36"/>
      <c r="N128" s="36"/>
      <c r="O128" s="36"/>
      <c r="P128" s="36"/>
      <c r="Q128" s="36"/>
      <c r="R128" s="36"/>
      <c r="S128" s="36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</row>
    <row r="129" spans="1:111" s="2" customFormat="1" x14ac:dyDescent="0.2">
      <c r="A129" s="10"/>
      <c r="B129" s="38"/>
      <c r="C129" s="42"/>
      <c r="D129" s="42"/>
      <c r="E129" s="42"/>
      <c r="F129" s="42"/>
      <c r="G129" s="41"/>
      <c r="H129" s="41"/>
      <c r="I129" s="41"/>
      <c r="J129" s="10"/>
      <c r="K129" s="11"/>
      <c r="L129" s="11"/>
      <c r="M129" s="11"/>
      <c r="N129" s="11"/>
      <c r="O129" s="11"/>
      <c r="P129" s="11"/>
      <c r="Q129" s="11"/>
      <c r="R129" s="11"/>
      <c r="S129" s="11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</row>
    <row r="130" spans="1:111" s="2" customFormat="1" x14ac:dyDescent="0.2">
      <c r="A130" s="10"/>
      <c r="B130" s="38"/>
      <c r="C130" s="42"/>
      <c r="D130" s="42"/>
      <c r="E130" s="42"/>
      <c r="F130" s="42"/>
      <c r="G130" s="41"/>
      <c r="H130" s="41"/>
      <c r="I130" s="41"/>
      <c r="J130" s="10"/>
      <c r="K130" s="11"/>
      <c r="L130" s="11"/>
      <c r="M130" s="11"/>
      <c r="N130" s="11"/>
      <c r="O130" s="11"/>
      <c r="P130" s="11"/>
      <c r="Q130" s="11"/>
      <c r="R130" s="11"/>
      <c r="S130" s="11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</row>
    <row r="131" spans="1:111" s="2" customFormat="1" x14ac:dyDescent="0.2">
      <c r="A131" s="10"/>
      <c r="B131" s="38"/>
      <c r="C131" s="42"/>
      <c r="D131" s="42"/>
      <c r="E131" s="42"/>
      <c r="F131" s="42"/>
      <c r="G131" s="41"/>
      <c r="H131" s="41"/>
      <c r="I131" s="41"/>
      <c r="J131" s="10"/>
      <c r="K131" s="16"/>
      <c r="L131" s="36"/>
      <c r="M131" s="36"/>
      <c r="N131" s="36"/>
      <c r="O131" s="36"/>
      <c r="P131" s="36"/>
      <c r="Q131" s="36"/>
      <c r="R131" s="36"/>
      <c r="S131" s="36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</row>
    <row r="132" spans="1:111" s="2" customFormat="1" x14ac:dyDescent="0.2">
      <c r="A132" s="10"/>
      <c r="B132" s="38"/>
      <c r="C132" s="42"/>
      <c r="D132" s="42"/>
      <c r="E132" s="42"/>
      <c r="F132" s="42"/>
      <c r="G132" s="41"/>
      <c r="H132" s="41"/>
      <c r="I132" s="41"/>
      <c r="J132" s="10"/>
      <c r="K132" s="16"/>
      <c r="L132" s="36"/>
      <c r="M132" s="36"/>
      <c r="N132" s="36"/>
      <c r="O132" s="36"/>
      <c r="P132" s="36"/>
      <c r="Q132" s="36"/>
      <c r="R132" s="36"/>
      <c r="S132" s="36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</row>
    <row r="133" spans="1:111" s="2" customFormat="1" x14ac:dyDescent="0.2">
      <c r="A133" s="10"/>
      <c r="B133" s="38"/>
      <c r="C133" s="42"/>
      <c r="D133" s="42"/>
      <c r="E133" s="42"/>
      <c r="F133" s="42"/>
      <c r="G133" s="41"/>
      <c r="H133" s="41"/>
      <c r="I133" s="41"/>
      <c r="J133" s="10"/>
      <c r="K133" s="16"/>
      <c r="L133" s="36"/>
      <c r="M133" s="36"/>
      <c r="N133" s="36"/>
      <c r="O133" s="36"/>
      <c r="P133" s="36"/>
      <c r="Q133" s="36"/>
      <c r="R133" s="36"/>
      <c r="S133" s="36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</row>
    <row r="134" spans="1:111" s="2" customFormat="1" x14ac:dyDescent="0.2">
      <c r="A134" s="10"/>
      <c r="B134" s="38"/>
      <c r="C134" s="42"/>
      <c r="D134" s="42"/>
      <c r="E134" s="42"/>
      <c r="F134" s="42"/>
      <c r="G134" s="41"/>
      <c r="H134" s="41"/>
      <c r="I134" s="41"/>
      <c r="J134" s="10"/>
      <c r="K134" s="16"/>
      <c r="L134" s="36"/>
      <c r="M134" s="36"/>
      <c r="N134" s="36"/>
      <c r="O134" s="36"/>
      <c r="P134" s="36"/>
      <c r="Q134" s="36"/>
      <c r="R134" s="36"/>
      <c r="S134" s="36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</row>
    <row r="135" spans="1:111" s="2" customFormat="1" x14ac:dyDescent="0.2">
      <c r="A135" s="10"/>
      <c r="B135" s="38"/>
      <c r="C135" s="42"/>
      <c r="D135" s="42"/>
      <c r="E135" s="42"/>
      <c r="F135" s="42"/>
      <c r="G135" s="41"/>
      <c r="H135" s="41"/>
      <c r="I135" s="41"/>
      <c r="J135" s="10"/>
      <c r="K135" s="16"/>
      <c r="L135" s="36"/>
      <c r="M135" s="36"/>
      <c r="N135" s="36"/>
      <c r="O135" s="36"/>
      <c r="P135" s="36"/>
      <c r="Q135" s="36"/>
      <c r="R135" s="36"/>
      <c r="S135" s="36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</row>
    <row r="136" spans="1:111" s="2" customFormat="1" x14ac:dyDescent="0.2">
      <c r="A136" s="10"/>
      <c r="B136" s="38"/>
      <c r="C136" s="42"/>
      <c r="D136" s="42"/>
      <c r="E136" s="42"/>
      <c r="F136" s="42"/>
      <c r="G136" s="41"/>
      <c r="H136" s="41"/>
      <c r="I136" s="41"/>
      <c r="J136" s="10"/>
      <c r="K136" s="16"/>
      <c r="L136" s="36"/>
      <c r="M136" s="36"/>
      <c r="N136" s="36"/>
      <c r="O136" s="36"/>
      <c r="P136" s="36"/>
      <c r="Q136" s="36"/>
      <c r="R136" s="36"/>
      <c r="S136" s="36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</row>
    <row r="137" spans="1:111" s="2" customFormat="1" x14ac:dyDescent="0.2">
      <c r="A137" s="10"/>
      <c r="B137" s="38"/>
      <c r="C137" s="42"/>
      <c r="D137" s="42"/>
      <c r="E137" s="42"/>
      <c r="F137" s="42"/>
      <c r="G137" s="41"/>
      <c r="H137" s="41"/>
      <c r="I137" s="41"/>
      <c r="J137" s="10"/>
      <c r="K137" s="16"/>
      <c r="L137" s="36"/>
      <c r="M137" s="36"/>
      <c r="N137" s="36"/>
      <c r="O137" s="36"/>
      <c r="P137" s="36"/>
      <c r="Q137" s="36"/>
      <c r="R137" s="36"/>
      <c r="S137" s="36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</row>
    <row r="138" spans="1:111" s="2" customFormat="1" x14ac:dyDescent="0.2">
      <c r="A138" s="10"/>
      <c r="B138" s="38"/>
      <c r="C138" s="42"/>
      <c r="D138" s="42"/>
      <c r="E138" s="42"/>
      <c r="F138" s="42"/>
      <c r="G138" s="41"/>
      <c r="H138" s="41"/>
      <c r="I138" s="41"/>
      <c r="J138" s="10"/>
      <c r="K138" s="16"/>
      <c r="L138" s="36"/>
      <c r="M138" s="36"/>
      <c r="N138" s="36"/>
      <c r="O138" s="36"/>
      <c r="P138" s="36"/>
      <c r="Q138" s="36"/>
      <c r="R138" s="36"/>
      <c r="S138" s="36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</row>
    <row r="139" spans="1:111" s="2" customFormat="1" x14ac:dyDescent="0.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6"/>
      <c r="L139" s="36"/>
      <c r="M139" s="36"/>
      <c r="N139" s="36"/>
      <c r="O139" s="36"/>
      <c r="P139" s="36"/>
      <c r="Q139" s="36"/>
      <c r="R139" s="36"/>
      <c r="S139" s="36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</row>
    <row r="140" spans="1:111" s="2" customFormat="1" x14ac:dyDescent="0.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6"/>
      <c r="L140" s="36"/>
      <c r="M140" s="36"/>
      <c r="N140" s="36"/>
      <c r="O140" s="36"/>
      <c r="P140" s="36"/>
      <c r="Q140" s="36"/>
      <c r="R140" s="36"/>
      <c r="S140" s="36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</row>
    <row r="141" spans="1:111" s="2" customFormat="1" x14ac:dyDescent="0.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6"/>
      <c r="L141" s="36"/>
      <c r="M141" s="36"/>
      <c r="N141" s="36"/>
      <c r="O141" s="36"/>
      <c r="P141" s="36"/>
      <c r="Q141" s="36"/>
      <c r="R141" s="36"/>
      <c r="S141" s="36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</row>
    <row r="142" spans="1:111" s="2" customFormat="1" x14ac:dyDescent="0.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6"/>
      <c r="L142" s="36"/>
      <c r="M142" s="36"/>
      <c r="N142" s="36"/>
      <c r="O142" s="36"/>
      <c r="P142" s="36"/>
      <c r="Q142" s="36"/>
      <c r="R142" s="36"/>
      <c r="S142" s="36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</row>
    <row r="143" spans="1:111" s="2" customFormat="1" x14ac:dyDescent="0.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6"/>
      <c r="L143" s="36"/>
      <c r="M143" s="36"/>
      <c r="N143" s="36"/>
      <c r="O143" s="36"/>
      <c r="P143" s="36"/>
      <c r="Q143" s="36"/>
      <c r="R143" s="36"/>
      <c r="S143" s="36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</row>
    <row r="144" spans="1:111" s="2" customFormat="1" x14ac:dyDescent="0.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6"/>
      <c r="L144" s="36"/>
      <c r="M144" s="36"/>
      <c r="N144" s="36"/>
      <c r="O144" s="36"/>
      <c r="P144" s="36"/>
      <c r="Q144" s="36"/>
      <c r="R144" s="36"/>
      <c r="S144" s="36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</row>
    <row r="145" spans="1:111" s="2" customFormat="1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6"/>
      <c r="L145" s="36"/>
      <c r="M145" s="36"/>
      <c r="N145" s="36"/>
      <c r="O145" s="36"/>
      <c r="P145" s="36"/>
      <c r="Q145" s="36"/>
      <c r="R145" s="36"/>
      <c r="S145" s="36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</row>
    <row r="146" spans="1:111" s="2" customFormat="1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6"/>
      <c r="L146" s="36"/>
      <c r="M146" s="36"/>
      <c r="N146" s="36"/>
      <c r="O146" s="36"/>
      <c r="P146" s="36"/>
      <c r="Q146" s="36"/>
      <c r="R146" s="36"/>
      <c r="S146" s="36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</row>
    <row r="147" spans="1:111" s="2" customFormat="1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6"/>
      <c r="L147" s="36"/>
      <c r="M147" s="36"/>
      <c r="N147" s="36"/>
      <c r="O147" s="36"/>
      <c r="P147" s="36"/>
      <c r="Q147" s="36"/>
      <c r="R147" s="36"/>
      <c r="S147" s="36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</row>
    <row r="148" spans="1:111" s="2" customFormat="1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6"/>
      <c r="L148" s="36"/>
      <c r="M148" s="36"/>
      <c r="N148" s="36"/>
      <c r="O148" s="36"/>
      <c r="P148" s="36"/>
      <c r="Q148" s="36"/>
      <c r="R148" s="36"/>
      <c r="S148" s="36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</row>
    <row r="149" spans="1:111" s="2" customFormat="1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6"/>
      <c r="L149" s="36"/>
      <c r="M149" s="36"/>
      <c r="N149" s="36"/>
      <c r="O149" s="36"/>
      <c r="P149" s="36"/>
      <c r="Q149" s="36"/>
      <c r="R149" s="36"/>
      <c r="S149" s="36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</row>
    <row r="150" spans="1:111" s="2" customFormat="1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6"/>
      <c r="L150" s="36"/>
      <c r="M150" s="36"/>
      <c r="N150" s="36"/>
      <c r="O150" s="36"/>
      <c r="P150" s="36"/>
      <c r="Q150" s="36"/>
      <c r="R150" s="36"/>
      <c r="S150" s="36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</row>
    <row r="151" spans="1:111" s="2" customFormat="1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6"/>
      <c r="L151" s="36"/>
      <c r="M151" s="36"/>
      <c r="N151" s="36"/>
      <c r="O151" s="36"/>
      <c r="P151" s="36"/>
      <c r="Q151" s="36"/>
      <c r="R151" s="36"/>
      <c r="S151" s="36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</row>
    <row r="152" spans="1:111" s="2" customFormat="1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6"/>
      <c r="L152" s="36"/>
      <c r="M152" s="36"/>
      <c r="N152" s="36"/>
      <c r="O152" s="36"/>
      <c r="P152" s="36"/>
      <c r="Q152" s="36"/>
      <c r="R152" s="36"/>
      <c r="S152" s="36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</row>
    <row r="153" spans="1:111" s="2" customFormat="1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6"/>
      <c r="L153" s="36"/>
      <c r="M153" s="36"/>
      <c r="N153" s="36"/>
      <c r="O153" s="36"/>
      <c r="P153" s="36"/>
      <c r="Q153" s="36"/>
      <c r="R153" s="36"/>
      <c r="S153" s="36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</row>
    <row r="154" spans="1:111" s="2" customFormat="1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6"/>
      <c r="L154" s="36"/>
      <c r="M154" s="36"/>
      <c r="N154" s="36"/>
      <c r="O154" s="36"/>
      <c r="P154" s="36"/>
      <c r="Q154" s="36"/>
      <c r="R154" s="36"/>
      <c r="S154" s="36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</row>
    <row r="155" spans="1:111" s="2" customFormat="1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6"/>
      <c r="L155" s="36"/>
      <c r="M155" s="36"/>
      <c r="N155" s="36"/>
      <c r="O155" s="36"/>
      <c r="P155" s="36"/>
      <c r="Q155" s="36"/>
      <c r="R155" s="36"/>
      <c r="S155" s="36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</row>
    <row r="156" spans="1:111" s="2" customFormat="1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6"/>
      <c r="L156" s="36"/>
      <c r="M156" s="36"/>
      <c r="N156" s="36"/>
      <c r="O156" s="36"/>
      <c r="P156" s="36"/>
      <c r="Q156" s="36"/>
      <c r="R156" s="36"/>
      <c r="S156" s="36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</row>
    <row r="157" spans="1:111" s="2" customFormat="1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6"/>
      <c r="L157" s="36"/>
      <c r="M157" s="36"/>
      <c r="N157" s="36"/>
      <c r="O157" s="36"/>
      <c r="P157" s="36"/>
      <c r="Q157" s="36"/>
      <c r="R157" s="36"/>
      <c r="S157" s="36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</row>
    <row r="158" spans="1:111" s="2" customFormat="1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6"/>
      <c r="L158" s="36"/>
      <c r="M158" s="36"/>
      <c r="N158" s="36"/>
      <c r="O158" s="36"/>
      <c r="P158" s="36"/>
      <c r="Q158" s="36"/>
      <c r="R158" s="36"/>
      <c r="S158" s="36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</row>
    <row r="159" spans="1:111" s="2" customFormat="1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6"/>
      <c r="L159" s="36"/>
      <c r="M159" s="36"/>
      <c r="N159" s="36"/>
      <c r="O159" s="36"/>
      <c r="P159" s="36"/>
      <c r="Q159" s="36"/>
      <c r="R159" s="36"/>
      <c r="S159" s="36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</row>
    <row r="160" spans="1:111" s="2" customFormat="1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6"/>
      <c r="L160" s="36"/>
      <c r="M160" s="36"/>
      <c r="N160" s="36"/>
      <c r="O160" s="36"/>
      <c r="P160" s="36"/>
      <c r="Q160" s="36"/>
      <c r="R160" s="36"/>
      <c r="S160" s="36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</row>
    <row r="161" spans="1:111" s="2" customFormat="1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6"/>
      <c r="L161" s="36"/>
      <c r="M161" s="36"/>
      <c r="N161" s="36"/>
      <c r="O161" s="36"/>
      <c r="P161" s="36"/>
      <c r="Q161" s="36"/>
      <c r="R161" s="36"/>
      <c r="S161" s="36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</row>
    <row r="162" spans="1:111" s="2" customFormat="1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6"/>
      <c r="L162" s="36"/>
      <c r="M162" s="36"/>
      <c r="N162" s="36"/>
      <c r="O162" s="36"/>
      <c r="P162" s="36"/>
      <c r="Q162" s="36"/>
      <c r="R162" s="36"/>
      <c r="S162" s="36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</row>
    <row r="163" spans="1:111" s="2" customForma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6"/>
      <c r="L163" s="36"/>
      <c r="M163" s="36"/>
      <c r="N163" s="36"/>
      <c r="O163" s="36"/>
      <c r="P163" s="36"/>
      <c r="Q163" s="36"/>
      <c r="R163" s="36"/>
      <c r="S163" s="36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</row>
    <row r="164" spans="1:111" s="2" customForma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6"/>
      <c r="L164" s="36"/>
      <c r="M164" s="36"/>
      <c r="N164" s="36"/>
      <c r="O164" s="36"/>
      <c r="P164" s="36"/>
      <c r="Q164" s="36"/>
      <c r="R164" s="36"/>
      <c r="S164" s="36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</row>
    <row r="165" spans="1:111" s="2" customForma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6"/>
      <c r="L165" s="36"/>
      <c r="M165" s="36"/>
      <c r="N165" s="36"/>
      <c r="O165" s="36"/>
      <c r="P165" s="36"/>
      <c r="Q165" s="36"/>
      <c r="R165" s="36"/>
      <c r="S165" s="36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</row>
    <row r="166" spans="1:111" s="2" customForma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6"/>
      <c r="L166" s="36"/>
      <c r="M166" s="36"/>
      <c r="N166" s="36"/>
      <c r="O166" s="36"/>
      <c r="P166" s="36"/>
      <c r="Q166" s="36"/>
      <c r="R166" s="36"/>
      <c r="S166" s="36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</row>
    <row r="167" spans="1:111" s="2" customForma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6"/>
      <c r="L167" s="36"/>
      <c r="M167" s="36"/>
      <c r="N167" s="36"/>
      <c r="O167" s="36"/>
      <c r="P167" s="36"/>
      <c r="Q167" s="36"/>
      <c r="R167" s="36"/>
      <c r="S167" s="36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</row>
    <row r="168" spans="1:111" s="2" customForma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6"/>
      <c r="L168" s="36"/>
      <c r="M168" s="36"/>
      <c r="N168" s="36"/>
      <c r="O168" s="36"/>
      <c r="P168" s="36"/>
      <c r="Q168" s="36"/>
      <c r="R168" s="36"/>
      <c r="S168" s="36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</row>
    <row r="169" spans="1:111" s="2" customForma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6"/>
      <c r="L169" s="36"/>
      <c r="M169" s="36"/>
      <c r="N169" s="36"/>
      <c r="O169" s="36"/>
      <c r="P169" s="36"/>
      <c r="Q169" s="36"/>
      <c r="R169" s="36"/>
      <c r="S169" s="36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</row>
    <row r="170" spans="1:111" s="2" customForma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6"/>
      <c r="L170" s="36"/>
      <c r="M170" s="36"/>
      <c r="N170" s="36"/>
      <c r="O170" s="36"/>
      <c r="P170" s="36"/>
      <c r="Q170" s="36"/>
      <c r="R170" s="36"/>
      <c r="S170" s="36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</row>
    <row r="171" spans="1:111" s="2" customForma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6"/>
      <c r="L171" s="36"/>
      <c r="M171" s="36"/>
      <c r="N171" s="36"/>
      <c r="O171" s="36"/>
      <c r="P171" s="36"/>
      <c r="Q171" s="36"/>
      <c r="R171" s="36"/>
      <c r="S171" s="36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</row>
    <row r="172" spans="1:111" s="2" customForma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6"/>
      <c r="L172" s="36"/>
      <c r="M172" s="36"/>
      <c r="N172" s="36"/>
      <c r="O172" s="36"/>
      <c r="P172" s="36"/>
      <c r="Q172" s="36"/>
      <c r="R172" s="36"/>
      <c r="S172" s="36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</row>
    <row r="173" spans="1:111" s="2" customFormat="1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6"/>
      <c r="L173" s="36"/>
      <c r="M173" s="36"/>
      <c r="N173" s="36"/>
      <c r="O173" s="36"/>
      <c r="P173" s="36"/>
      <c r="Q173" s="36"/>
      <c r="R173" s="36"/>
      <c r="S173" s="36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</row>
    <row r="174" spans="1:111" s="2" customForma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6"/>
      <c r="L174" s="36"/>
      <c r="M174" s="36"/>
      <c r="N174" s="36"/>
      <c r="O174" s="36"/>
      <c r="P174" s="36"/>
      <c r="Q174" s="36"/>
      <c r="R174" s="36"/>
      <c r="S174" s="36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</row>
    <row r="175" spans="1:111" s="2" customForma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6"/>
      <c r="L175" s="36"/>
      <c r="M175" s="36"/>
      <c r="N175" s="36"/>
      <c r="O175" s="36"/>
      <c r="P175" s="36"/>
      <c r="Q175" s="36"/>
      <c r="R175" s="36"/>
      <c r="S175" s="36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</row>
    <row r="176" spans="1:111" s="2" customFormat="1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6"/>
      <c r="L176" s="36"/>
      <c r="M176" s="36"/>
      <c r="N176" s="36"/>
      <c r="O176" s="36"/>
      <c r="P176" s="36"/>
      <c r="Q176" s="36"/>
      <c r="R176" s="36"/>
      <c r="S176" s="36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</row>
    <row r="177" spans="1:111" s="2" customForma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6"/>
      <c r="L177" s="36"/>
      <c r="M177" s="36"/>
      <c r="N177" s="36"/>
      <c r="O177" s="36"/>
      <c r="P177" s="36"/>
      <c r="Q177" s="36"/>
      <c r="R177" s="36"/>
      <c r="S177" s="36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</row>
    <row r="178" spans="1:111" s="2" customFormat="1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6"/>
      <c r="L178" s="36"/>
      <c r="M178" s="36"/>
      <c r="N178" s="36"/>
      <c r="O178" s="36"/>
      <c r="P178" s="36"/>
      <c r="Q178" s="36"/>
      <c r="R178" s="36"/>
      <c r="S178" s="36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</row>
    <row r="179" spans="1:111" s="2" customForma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6"/>
      <c r="L179" s="36"/>
      <c r="M179" s="36"/>
      <c r="N179" s="36"/>
      <c r="O179" s="36"/>
      <c r="P179" s="36"/>
      <c r="Q179" s="36"/>
      <c r="R179" s="36"/>
      <c r="S179" s="36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</row>
    <row r="180" spans="1:111" s="2" customForma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6"/>
      <c r="L180" s="36"/>
      <c r="M180" s="36"/>
      <c r="N180" s="36"/>
      <c r="O180" s="36"/>
      <c r="P180" s="36"/>
      <c r="Q180" s="36"/>
      <c r="R180" s="36"/>
      <c r="S180" s="36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</row>
    <row r="181" spans="1:111" s="2" customForma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6"/>
      <c r="L181" s="36"/>
      <c r="M181" s="36"/>
      <c r="N181" s="36"/>
      <c r="O181" s="36"/>
      <c r="P181" s="36"/>
      <c r="Q181" s="36"/>
      <c r="R181" s="36"/>
      <c r="S181" s="36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</row>
    <row r="182" spans="1:111" s="2" customForma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6"/>
      <c r="L182" s="36"/>
      <c r="M182" s="36"/>
      <c r="N182" s="36"/>
      <c r="O182" s="36"/>
      <c r="P182" s="36"/>
      <c r="Q182" s="36"/>
      <c r="R182" s="36"/>
      <c r="S182" s="36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</row>
    <row r="183" spans="1:111" s="2" customForma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6"/>
      <c r="L183" s="36"/>
      <c r="M183" s="36"/>
      <c r="N183" s="36"/>
      <c r="O183" s="36"/>
      <c r="P183" s="36"/>
      <c r="Q183" s="36"/>
      <c r="R183" s="36"/>
      <c r="S183" s="36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</row>
    <row r="184" spans="1:111" s="2" customFormat="1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6"/>
      <c r="L184" s="36"/>
      <c r="M184" s="36"/>
      <c r="N184" s="36"/>
      <c r="O184" s="36"/>
      <c r="P184" s="36"/>
      <c r="Q184" s="36"/>
      <c r="R184" s="36"/>
      <c r="S184" s="36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</row>
    <row r="185" spans="1:111" s="2" customForma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6"/>
      <c r="L185" s="36"/>
      <c r="M185" s="36"/>
      <c r="N185" s="36"/>
      <c r="O185" s="36"/>
      <c r="P185" s="36"/>
      <c r="Q185" s="36"/>
      <c r="R185" s="36"/>
      <c r="S185" s="36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</row>
    <row r="186" spans="1:111" s="2" customForma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6"/>
      <c r="L186" s="36"/>
      <c r="M186" s="36"/>
      <c r="N186" s="36"/>
      <c r="O186" s="36"/>
      <c r="P186" s="36"/>
      <c r="Q186" s="36"/>
      <c r="R186" s="36"/>
      <c r="S186" s="36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</row>
    <row r="187" spans="1:111" s="2" customForma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6"/>
      <c r="L187" s="36"/>
      <c r="M187" s="36"/>
      <c r="N187" s="36"/>
      <c r="O187" s="36"/>
      <c r="P187" s="36"/>
      <c r="Q187" s="36"/>
      <c r="R187" s="36"/>
      <c r="S187" s="36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</row>
    <row r="188" spans="1:111" s="2" customForma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6"/>
      <c r="L188" s="36"/>
      <c r="M188" s="36"/>
      <c r="N188" s="36"/>
      <c r="O188" s="36"/>
      <c r="P188" s="36"/>
      <c r="Q188" s="36"/>
      <c r="R188" s="36"/>
      <c r="S188" s="36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</row>
    <row r="189" spans="1:111" s="2" customForma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6"/>
      <c r="L189" s="36"/>
      <c r="M189" s="36"/>
      <c r="N189" s="36"/>
      <c r="O189" s="36"/>
      <c r="P189" s="36"/>
      <c r="Q189" s="36"/>
      <c r="R189" s="36"/>
      <c r="S189" s="36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</row>
    <row r="190" spans="1:111" s="2" customFormat="1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6"/>
      <c r="L190" s="36"/>
      <c r="M190" s="36"/>
      <c r="N190" s="36"/>
      <c r="O190" s="36"/>
      <c r="P190" s="36"/>
      <c r="Q190" s="36"/>
      <c r="R190" s="36"/>
      <c r="S190" s="36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</row>
    <row r="191" spans="1:111" s="2" customForma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6"/>
      <c r="L191" s="36"/>
      <c r="M191" s="36"/>
      <c r="N191" s="36"/>
      <c r="O191" s="36"/>
      <c r="P191" s="36"/>
      <c r="Q191" s="36"/>
      <c r="R191" s="36"/>
      <c r="S191" s="36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</row>
    <row r="192" spans="1:111" s="2" customForma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6"/>
      <c r="L192" s="36"/>
      <c r="M192" s="36"/>
      <c r="N192" s="36"/>
      <c r="O192" s="36"/>
      <c r="P192" s="36"/>
      <c r="Q192" s="36"/>
      <c r="R192" s="36"/>
      <c r="S192" s="36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</row>
    <row r="193" spans="1:111" s="2" customForma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6"/>
      <c r="L193" s="36"/>
      <c r="M193" s="36"/>
      <c r="N193" s="36"/>
      <c r="O193" s="36"/>
      <c r="P193" s="36"/>
      <c r="Q193" s="36"/>
      <c r="R193" s="36"/>
      <c r="S193" s="36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</row>
    <row r="194" spans="1:111" s="2" customFormat="1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6"/>
      <c r="L194" s="36"/>
      <c r="M194" s="36"/>
      <c r="N194" s="36"/>
      <c r="O194" s="36"/>
      <c r="P194" s="36"/>
      <c r="Q194" s="36"/>
      <c r="R194" s="36"/>
      <c r="S194" s="36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</row>
    <row r="195" spans="1:111" s="2" customForma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6"/>
      <c r="L195" s="36"/>
      <c r="M195" s="36"/>
      <c r="N195" s="36"/>
      <c r="O195" s="36"/>
      <c r="P195" s="36"/>
      <c r="Q195" s="36"/>
      <c r="R195" s="36"/>
      <c r="S195" s="36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</row>
    <row r="196" spans="1:111" s="2" customFormat="1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6"/>
      <c r="L196" s="36"/>
      <c r="M196" s="36"/>
      <c r="N196" s="36"/>
      <c r="O196" s="36"/>
      <c r="P196" s="36"/>
      <c r="Q196" s="36"/>
      <c r="R196" s="36"/>
      <c r="S196" s="36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</row>
    <row r="197" spans="1:111" s="2" customForma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6"/>
      <c r="L197" s="36"/>
      <c r="M197" s="36"/>
      <c r="N197" s="36"/>
      <c r="O197" s="36"/>
      <c r="P197" s="36"/>
      <c r="Q197" s="36"/>
      <c r="R197" s="36"/>
      <c r="S197" s="36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</row>
    <row r="198" spans="1:111" s="2" customForma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6"/>
      <c r="L198" s="36"/>
      <c r="M198" s="36"/>
      <c r="N198" s="36"/>
      <c r="O198" s="36"/>
      <c r="P198" s="36"/>
      <c r="Q198" s="36"/>
      <c r="R198" s="36"/>
      <c r="S198" s="36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</row>
    <row r="199" spans="1:111" s="2" customForma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6"/>
      <c r="L199" s="36"/>
      <c r="M199" s="36"/>
      <c r="N199" s="36"/>
      <c r="O199" s="36"/>
      <c r="P199" s="36"/>
      <c r="Q199" s="36"/>
      <c r="R199" s="36"/>
      <c r="S199" s="36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</row>
    <row r="200" spans="1:111" s="2" customForma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6"/>
      <c r="L200" s="36"/>
      <c r="M200" s="36"/>
      <c r="N200" s="36"/>
      <c r="O200" s="36"/>
      <c r="P200" s="36"/>
      <c r="Q200" s="36"/>
      <c r="R200" s="36"/>
      <c r="S200" s="36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</row>
    <row r="201" spans="1:111" s="2" customForma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6"/>
      <c r="L201" s="36"/>
      <c r="M201" s="36"/>
      <c r="N201" s="36"/>
      <c r="O201" s="36"/>
      <c r="P201" s="36"/>
      <c r="Q201" s="36"/>
      <c r="R201" s="36"/>
      <c r="S201" s="36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</row>
    <row r="202" spans="1:111" s="2" customFormat="1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6"/>
      <c r="L202" s="36"/>
      <c r="M202" s="36"/>
      <c r="N202" s="36"/>
      <c r="O202" s="36"/>
      <c r="P202" s="36"/>
      <c r="Q202" s="36"/>
      <c r="R202" s="36"/>
      <c r="S202" s="36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</row>
    <row r="203" spans="1:111" s="2" customFormat="1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6"/>
      <c r="L203" s="36"/>
      <c r="M203" s="36"/>
      <c r="N203" s="36"/>
      <c r="O203" s="36"/>
      <c r="P203" s="36"/>
      <c r="Q203" s="36"/>
      <c r="R203" s="36"/>
      <c r="S203" s="36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</row>
    <row r="204" spans="1:111" s="2" customFormat="1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6"/>
      <c r="L204" s="36"/>
      <c r="M204" s="36"/>
      <c r="N204" s="36"/>
      <c r="O204" s="36"/>
      <c r="P204" s="36"/>
      <c r="Q204" s="36"/>
      <c r="R204" s="36"/>
      <c r="S204" s="36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</row>
    <row r="205" spans="1:111" s="2" customFormat="1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6"/>
      <c r="L205" s="36"/>
      <c r="M205" s="36"/>
      <c r="N205" s="36"/>
      <c r="O205" s="36"/>
      <c r="P205" s="36"/>
      <c r="Q205" s="36"/>
      <c r="R205" s="36"/>
      <c r="S205" s="36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</row>
    <row r="206" spans="1:111" s="2" customFormat="1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6"/>
      <c r="L206" s="36"/>
      <c r="M206" s="36"/>
      <c r="N206" s="36"/>
      <c r="O206" s="36"/>
      <c r="P206" s="36"/>
      <c r="Q206" s="36"/>
      <c r="R206" s="36"/>
      <c r="S206" s="36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</row>
    <row r="207" spans="1:111" s="2" customFormat="1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6"/>
      <c r="L207" s="36"/>
      <c r="M207" s="36"/>
      <c r="N207" s="36"/>
      <c r="O207" s="36"/>
      <c r="P207" s="36"/>
      <c r="Q207" s="36"/>
      <c r="R207" s="36"/>
      <c r="S207" s="36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</row>
    <row r="208" spans="1:111" s="2" customFormat="1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6"/>
      <c r="L208" s="36"/>
      <c r="M208" s="36"/>
      <c r="N208" s="36"/>
      <c r="O208" s="36"/>
      <c r="P208" s="36"/>
      <c r="Q208" s="36"/>
      <c r="R208" s="36"/>
      <c r="S208" s="36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</row>
    <row r="209" spans="1:111" s="2" customFormat="1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6"/>
      <c r="L209" s="36"/>
      <c r="M209" s="36"/>
      <c r="N209" s="36"/>
      <c r="O209" s="36"/>
      <c r="P209" s="36"/>
      <c r="Q209" s="36"/>
      <c r="R209" s="36"/>
      <c r="S209" s="36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</row>
    <row r="210" spans="1:111" s="2" customFormat="1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6"/>
      <c r="L210" s="36"/>
      <c r="M210" s="36"/>
      <c r="N210" s="36"/>
      <c r="O210" s="36"/>
      <c r="P210" s="36"/>
      <c r="Q210" s="36"/>
      <c r="R210" s="36"/>
      <c r="S210" s="36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</row>
    <row r="211" spans="1:111" s="2" customFormat="1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6"/>
      <c r="L211" s="36"/>
      <c r="M211" s="36"/>
      <c r="N211" s="36"/>
      <c r="O211" s="36"/>
      <c r="P211" s="36"/>
      <c r="Q211" s="36"/>
      <c r="R211" s="36"/>
      <c r="S211" s="36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</row>
    <row r="212" spans="1:111" s="2" customFormat="1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6"/>
      <c r="L212" s="36"/>
      <c r="M212" s="36"/>
      <c r="N212" s="36"/>
      <c r="O212" s="36"/>
      <c r="P212" s="36"/>
      <c r="Q212" s="36"/>
      <c r="R212" s="36"/>
      <c r="S212" s="36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</row>
    <row r="213" spans="1:111" s="2" customFormat="1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6"/>
      <c r="L213" s="36"/>
      <c r="M213" s="36"/>
      <c r="N213" s="36"/>
      <c r="O213" s="36"/>
      <c r="P213" s="36"/>
      <c r="Q213" s="36"/>
      <c r="R213" s="36"/>
      <c r="S213" s="36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</row>
    <row r="214" spans="1:111" s="2" customFormat="1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6"/>
      <c r="L214" s="36"/>
      <c r="M214" s="36"/>
      <c r="N214" s="36"/>
      <c r="O214" s="36"/>
      <c r="P214" s="36"/>
      <c r="Q214" s="36"/>
      <c r="R214" s="36"/>
      <c r="S214" s="36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</row>
    <row r="215" spans="1:111" s="2" customFormat="1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6"/>
      <c r="L215" s="36"/>
      <c r="M215" s="36"/>
      <c r="N215" s="36"/>
      <c r="O215" s="36"/>
      <c r="P215" s="36"/>
      <c r="Q215" s="36"/>
      <c r="R215" s="36"/>
      <c r="S215" s="36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</row>
    <row r="216" spans="1:111" s="2" customFormat="1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6"/>
      <c r="L216" s="36"/>
      <c r="M216" s="36"/>
      <c r="N216" s="36"/>
      <c r="O216" s="36"/>
      <c r="P216" s="36"/>
      <c r="Q216" s="36"/>
      <c r="R216" s="36"/>
      <c r="S216" s="36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</row>
    <row r="217" spans="1:111" s="2" customFormat="1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6"/>
      <c r="L217" s="36"/>
      <c r="M217" s="36"/>
      <c r="N217" s="36"/>
      <c r="O217" s="36"/>
      <c r="P217" s="36"/>
      <c r="Q217" s="36"/>
      <c r="R217" s="36"/>
      <c r="S217" s="36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</row>
    <row r="218" spans="1:111" s="2" customFormat="1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6"/>
      <c r="L218" s="36"/>
      <c r="M218" s="36"/>
      <c r="N218" s="36"/>
      <c r="O218" s="36"/>
      <c r="P218" s="36"/>
      <c r="Q218" s="36"/>
      <c r="R218" s="36"/>
      <c r="S218" s="36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</row>
    <row r="219" spans="1:111" s="2" customFormat="1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6"/>
      <c r="L219" s="36"/>
      <c r="M219" s="36"/>
      <c r="N219" s="36"/>
      <c r="O219" s="36"/>
      <c r="P219" s="36"/>
      <c r="Q219" s="36"/>
      <c r="R219" s="36"/>
      <c r="S219" s="36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</row>
    <row r="220" spans="1:111" s="2" customFormat="1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6"/>
      <c r="L220" s="36"/>
      <c r="M220" s="36"/>
      <c r="N220" s="36"/>
      <c r="O220" s="36"/>
      <c r="P220" s="36"/>
      <c r="Q220" s="36"/>
      <c r="R220" s="36"/>
      <c r="S220" s="36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</row>
    <row r="221" spans="1:111" s="2" customForma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6"/>
      <c r="L221" s="36"/>
      <c r="M221" s="36"/>
      <c r="N221" s="36"/>
      <c r="O221" s="36"/>
      <c r="P221" s="36"/>
      <c r="Q221" s="36"/>
      <c r="R221" s="36"/>
      <c r="S221" s="36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</row>
    <row r="222" spans="1:111" s="2" customFormat="1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6"/>
      <c r="L222" s="36"/>
      <c r="M222" s="36"/>
      <c r="N222" s="36"/>
      <c r="O222" s="36"/>
      <c r="P222" s="36"/>
      <c r="Q222" s="36"/>
      <c r="R222" s="36"/>
      <c r="S222" s="36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</row>
    <row r="223" spans="1:111" s="2" customFormat="1" x14ac:dyDescent="0.2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6"/>
      <c r="L223" s="36"/>
      <c r="M223" s="36"/>
      <c r="N223" s="36"/>
      <c r="O223" s="36"/>
      <c r="P223" s="36"/>
      <c r="Q223" s="36"/>
      <c r="R223" s="36"/>
      <c r="S223" s="36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</row>
    <row r="224" spans="1:111" s="2" customFormat="1" x14ac:dyDescent="0.2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6"/>
      <c r="L224" s="36"/>
      <c r="M224" s="36"/>
      <c r="N224" s="36"/>
      <c r="O224" s="36"/>
      <c r="P224" s="36"/>
      <c r="Q224" s="36"/>
      <c r="R224" s="36"/>
      <c r="S224" s="36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</row>
    <row r="225" spans="1:111" s="2" customFormat="1" x14ac:dyDescent="0.2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6"/>
      <c r="L225" s="36"/>
      <c r="M225" s="36"/>
      <c r="N225" s="36"/>
      <c r="O225" s="36"/>
      <c r="P225" s="36"/>
      <c r="Q225" s="36"/>
      <c r="R225" s="36"/>
      <c r="S225" s="36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</row>
    <row r="226" spans="1:111" s="2" customFormat="1" x14ac:dyDescent="0.2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6"/>
      <c r="L226" s="36"/>
      <c r="M226" s="36"/>
      <c r="N226" s="36"/>
      <c r="O226" s="36"/>
      <c r="P226" s="36"/>
      <c r="Q226" s="36"/>
      <c r="R226" s="36"/>
      <c r="S226" s="36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</row>
    <row r="227" spans="1:111" s="2" customFormat="1" x14ac:dyDescent="0.2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6"/>
      <c r="L227" s="36"/>
      <c r="M227" s="36"/>
      <c r="N227" s="36"/>
      <c r="O227" s="36"/>
      <c r="P227" s="36"/>
      <c r="Q227" s="36"/>
      <c r="R227" s="36"/>
      <c r="S227" s="36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</row>
    <row r="228" spans="1:111" s="2" customFormat="1" x14ac:dyDescent="0.2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6"/>
      <c r="L228" s="36"/>
      <c r="M228" s="36"/>
      <c r="N228" s="36"/>
      <c r="O228" s="36"/>
      <c r="P228" s="36"/>
      <c r="Q228" s="36"/>
      <c r="R228" s="36"/>
      <c r="S228" s="36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</row>
    <row r="229" spans="1:111" s="2" customFormat="1" x14ac:dyDescent="0.2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6"/>
      <c r="L229" s="36"/>
      <c r="M229" s="36"/>
      <c r="N229" s="36"/>
      <c r="O229" s="36"/>
      <c r="P229" s="36"/>
      <c r="Q229" s="36"/>
      <c r="R229" s="36"/>
      <c r="S229" s="36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</row>
    <row r="230" spans="1:111" s="2" customFormat="1" x14ac:dyDescent="0.2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6"/>
      <c r="L230" s="36"/>
      <c r="M230" s="36"/>
      <c r="N230" s="36"/>
      <c r="O230" s="36"/>
      <c r="P230" s="36"/>
      <c r="Q230" s="36"/>
      <c r="R230" s="36"/>
      <c r="S230" s="36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</row>
    <row r="231" spans="1:111" s="2" customFormat="1" x14ac:dyDescent="0.2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6"/>
      <c r="L231" s="36"/>
      <c r="M231" s="36"/>
      <c r="N231" s="36"/>
      <c r="O231" s="36"/>
      <c r="P231" s="36"/>
      <c r="Q231" s="36"/>
      <c r="R231" s="36"/>
      <c r="S231" s="36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</row>
    <row r="232" spans="1:111" s="2" customFormat="1" x14ac:dyDescent="0.2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6"/>
      <c r="L232" s="36"/>
      <c r="M232" s="36"/>
      <c r="N232" s="36"/>
      <c r="O232" s="36"/>
      <c r="P232" s="36"/>
      <c r="Q232" s="36"/>
      <c r="R232" s="36"/>
      <c r="S232" s="36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</row>
    <row r="233" spans="1:111" s="2" customFormat="1" x14ac:dyDescent="0.2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6"/>
      <c r="L233" s="36"/>
      <c r="M233" s="36"/>
      <c r="N233" s="36"/>
      <c r="O233" s="36"/>
      <c r="P233" s="36"/>
      <c r="Q233" s="36"/>
      <c r="R233" s="36"/>
      <c r="S233" s="36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</row>
    <row r="234" spans="1:111" s="2" customFormat="1" x14ac:dyDescent="0.2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6"/>
      <c r="L234" s="36"/>
      <c r="M234" s="36"/>
      <c r="N234" s="36"/>
      <c r="O234" s="36"/>
      <c r="P234" s="36"/>
      <c r="Q234" s="36"/>
      <c r="R234" s="36"/>
      <c r="S234" s="36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</row>
    <row r="235" spans="1:111" s="2" customFormat="1" x14ac:dyDescent="0.2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6"/>
      <c r="L235" s="36"/>
      <c r="M235" s="36"/>
      <c r="N235" s="36"/>
      <c r="O235" s="36"/>
      <c r="P235" s="36"/>
      <c r="Q235" s="36"/>
      <c r="R235" s="36"/>
      <c r="S235" s="36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</row>
    <row r="236" spans="1:111" s="2" customFormat="1" x14ac:dyDescent="0.2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6"/>
      <c r="L236" s="36"/>
      <c r="M236" s="36"/>
      <c r="N236" s="36"/>
      <c r="O236" s="36"/>
      <c r="P236" s="36"/>
      <c r="Q236" s="36"/>
      <c r="R236" s="36"/>
      <c r="S236" s="36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</row>
    <row r="237" spans="1:111" s="2" customFormat="1" x14ac:dyDescent="0.2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6"/>
      <c r="L237" s="36"/>
      <c r="M237" s="36"/>
      <c r="N237" s="36"/>
      <c r="O237" s="36"/>
      <c r="P237" s="36"/>
      <c r="Q237" s="36"/>
      <c r="R237" s="36"/>
      <c r="S237" s="36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</row>
    <row r="238" spans="1:111" s="2" customFormat="1" x14ac:dyDescent="0.2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6"/>
      <c r="L238" s="36"/>
      <c r="M238" s="36"/>
      <c r="N238" s="36"/>
      <c r="O238" s="36"/>
      <c r="P238" s="36"/>
      <c r="Q238" s="36"/>
      <c r="R238" s="36"/>
      <c r="S238" s="36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</row>
    <row r="239" spans="1:111" s="2" customFormat="1" x14ac:dyDescent="0.2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6"/>
      <c r="L239" s="36"/>
      <c r="M239" s="36"/>
      <c r="N239" s="36"/>
      <c r="O239" s="36"/>
      <c r="P239" s="36"/>
      <c r="Q239" s="36"/>
      <c r="R239" s="36"/>
      <c r="S239" s="36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</row>
    <row r="240" spans="1:111" s="2" customFormat="1" x14ac:dyDescent="0.2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6"/>
      <c r="L240" s="36"/>
      <c r="M240" s="36"/>
      <c r="N240" s="36"/>
      <c r="O240" s="36"/>
      <c r="P240" s="36"/>
      <c r="Q240" s="36"/>
      <c r="R240" s="36"/>
      <c r="S240" s="36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</row>
    <row r="241" spans="1:111" s="2" customFormat="1" x14ac:dyDescent="0.2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6"/>
      <c r="L241" s="36"/>
      <c r="M241" s="36"/>
      <c r="N241" s="36"/>
      <c r="O241" s="36"/>
      <c r="P241" s="36"/>
      <c r="Q241" s="36"/>
      <c r="R241" s="36"/>
      <c r="S241" s="36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</row>
    <row r="242" spans="1:111" s="2" customFormat="1" x14ac:dyDescent="0.2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6"/>
      <c r="L242" s="36"/>
      <c r="M242" s="36"/>
      <c r="N242" s="36"/>
      <c r="O242" s="36"/>
      <c r="P242" s="36"/>
      <c r="Q242" s="36"/>
      <c r="R242" s="36"/>
      <c r="S242" s="36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</row>
    <row r="243" spans="1:111" s="2" customFormat="1" x14ac:dyDescent="0.2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6"/>
      <c r="L243" s="36"/>
      <c r="M243" s="36"/>
      <c r="N243" s="36"/>
      <c r="O243" s="36"/>
      <c r="P243" s="36"/>
      <c r="Q243" s="36"/>
      <c r="R243" s="36"/>
      <c r="S243" s="36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</row>
    <row r="244" spans="1:111" s="2" customFormat="1" x14ac:dyDescent="0.2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6"/>
      <c r="L244" s="36"/>
      <c r="M244" s="36"/>
      <c r="N244" s="36"/>
      <c r="O244" s="36"/>
      <c r="P244" s="36"/>
      <c r="Q244" s="36"/>
      <c r="R244" s="36"/>
      <c r="S244" s="36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</row>
    <row r="245" spans="1:111" s="2" customFormat="1" x14ac:dyDescent="0.2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6"/>
      <c r="L245" s="36"/>
      <c r="M245" s="36"/>
      <c r="N245" s="36"/>
      <c r="O245" s="36"/>
      <c r="P245" s="36"/>
      <c r="Q245" s="36"/>
      <c r="R245" s="36"/>
      <c r="S245" s="36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</row>
    <row r="246" spans="1:111" s="2" customFormat="1" x14ac:dyDescent="0.2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6"/>
      <c r="L246" s="36"/>
      <c r="M246" s="36"/>
      <c r="N246" s="36"/>
      <c r="O246" s="36"/>
      <c r="P246" s="36"/>
      <c r="Q246" s="36"/>
      <c r="R246" s="36"/>
      <c r="S246" s="36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</row>
    <row r="247" spans="1:111" s="2" customFormat="1" x14ac:dyDescent="0.2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6"/>
      <c r="L247" s="36"/>
      <c r="M247" s="36"/>
      <c r="N247" s="36"/>
      <c r="O247" s="36"/>
      <c r="P247" s="36"/>
      <c r="Q247" s="36"/>
      <c r="R247" s="36"/>
      <c r="S247" s="36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</row>
    <row r="248" spans="1:111" s="2" customFormat="1" x14ac:dyDescent="0.2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6"/>
      <c r="L248" s="36"/>
      <c r="M248" s="36"/>
      <c r="N248" s="36"/>
      <c r="O248" s="36"/>
      <c r="P248" s="36"/>
      <c r="Q248" s="36"/>
      <c r="R248" s="36"/>
      <c r="S248" s="36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</row>
    <row r="249" spans="1:111" s="2" customFormat="1" x14ac:dyDescent="0.2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6"/>
      <c r="L249" s="36"/>
      <c r="M249" s="36"/>
      <c r="N249" s="36"/>
      <c r="O249" s="36"/>
      <c r="P249" s="36"/>
      <c r="Q249" s="36"/>
      <c r="R249" s="36"/>
      <c r="S249" s="36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</row>
    <row r="250" spans="1:111" s="2" customFormat="1" x14ac:dyDescent="0.2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6"/>
      <c r="L250" s="36"/>
      <c r="M250" s="36"/>
      <c r="N250" s="36"/>
      <c r="O250" s="36"/>
      <c r="P250" s="36"/>
      <c r="Q250" s="36"/>
      <c r="R250" s="36"/>
      <c r="S250" s="36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</row>
    <row r="251" spans="1:111" s="2" customFormat="1" x14ac:dyDescent="0.2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6"/>
      <c r="L251" s="36"/>
      <c r="M251" s="36"/>
      <c r="N251" s="36"/>
      <c r="O251" s="36"/>
      <c r="P251" s="36"/>
      <c r="Q251" s="36"/>
      <c r="R251" s="36"/>
      <c r="S251" s="36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</row>
    <row r="252" spans="1:111" s="2" customFormat="1" x14ac:dyDescent="0.2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6"/>
      <c r="L252" s="36"/>
      <c r="M252" s="36"/>
      <c r="N252" s="36"/>
      <c r="O252" s="36"/>
      <c r="P252" s="36"/>
      <c r="Q252" s="36"/>
      <c r="R252" s="36"/>
      <c r="S252" s="36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</row>
    <row r="253" spans="1:111" s="2" customFormat="1" x14ac:dyDescent="0.2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6"/>
      <c r="L253" s="36"/>
      <c r="M253" s="36"/>
      <c r="N253" s="36"/>
      <c r="O253" s="36"/>
      <c r="P253" s="36"/>
      <c r="Q253" s="36"/>
      <c r="R253" s="36"/>
      <c r="S253" s="36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</row>
    <row r="254" spans="1:111" s="2" customFormat="1" x14ac:dyDescent="0.2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6"/>
      <c r="L254" s="36"/>
      <c r="M254" s="36"/>
      <c r="N254" s="36"/>
      <c r="O254" s="36"/>
      <c r="P254" s="36"/>
      <c r="Q254" s="36"/>
      <c r="R254" s="36"/>
      <c r="S254" s="36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</row>
    <row r="255" spans="1:111" s="2" customFormat="1" x14ac:dyDescent="0.2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6"/>
      <c r="L255" s="36"/>
      <c r="M255" s="36"/>
      <c r="N255" s="36"/>
      <c r="O255" s="36"/>
      <c r="P255" s="36"/>
      <c r="Q255" s="36"/>
      <c r="R255" s="36"/>
      <c r="S255" s="36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</row>
    <row r="256" spans="1:111" s="2" customFormat="1" x14ac:dyDescent="0.2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</row>
    <row r="257" spans="1:111" s="2" customFormat="1" x14ac:dyDescent="0.2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</row>
    <row r="258" spans="1:111" s="2" customFormat="1" x14ac:dyDescent="0.2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38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</row>
    <row r="259" spans="1:111" s="2" customFormat="1" x14ac:dyDescent="0.2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38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</row>
    <row r="260" spans="1:111" s="2" customFormat="1" x14ac:dyDescent="0.2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38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</row>
    <row r="261" spans="1:111" s="2" customFormat="1" x14ac:dyDescent="0.2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38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</row>
    <row r="262" spans="1:111" s="2" customFormat="1" x14ac:dyDescent="0.2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38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</row>
    <row r="263" spans="1:111" s="2" customFormat="1" x14ac:dyDescent="0.2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38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</row>
    <row r="264" spans="1:111" s="2" customFormat="1" x14ac:dyDescent="0.2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38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</row>
    <row r="265" spans="1:111" s="2" customFormat="1" x14ac:dyDescent="0.2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38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</row>
    <row r="266" spans="1:111" s="2" customFormat="1" x14ac:dyDescent="0.2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38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</row>
    <row r="267" spans="1:111" s="2" customFormat="1" x14ac:dyDescent="0.2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38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</row>
    <row r="268" spans="1:111" s="2" customFormat="1" x14ac:dyDescent="0.2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38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</row>
    <row r="269" spans="1:111" s="2" customFormat="1" x14ac:dyDescent="0.2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38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</row>
    <row r="270" spans="1:111" s="2" customFormat="1" x14ac:dyDescent="0.2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38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</row>
    <row r="271" spans="1:111" s="2" customFormat="1" x14ac:dyDescent="0.2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38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</row>
    <row r="272" spans="1:111" s="2" customFormat="1" x14ac:dyDescent="0.2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38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</row>
    <row r="273" spans="1:111" s="2" customFormat="1" x14ac:dyDescent="0.2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38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</row>
    <row r="274" spans="1:111" s="2" customFormat="1" x14ac:dyDescent="0.2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38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</row>
    <row r="275" spans="1:111" s="2" customFormat="1" x14ac:dyDescent="0.2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38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</row>
    <row r="276" spans="1:111" s="2" customFormat="1" x14ac:dyDescent="0.2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38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</row>
    <row r="277" spans="1:111" s="2" customFormat="1" x14ac:dyDescent="0.2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38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</row>
    <row r="278" spans="1:111" s="2" customFormat="1" x14ac:dyDescent="0.2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38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</row>
    <row r="279" spans="1:111" s="2" customFormat="1" x14ac:dyDescent="0.2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38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</row>
    <row r="280" spans="1:111" s="2" customFormat="1" x14ac:dyDescent="0.2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38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</row>
    <row r="281" spans="1:111" s="2" customFormat="1" x14ac:dyDescent="0.2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38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</row>
    <row r="282" spans="1:111" s="2" customFormat="1" x14ac:dyDescent="0.2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38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</row>
    <row r="283" spans="1:111" s="2" customFormat="1" x14ac:dyDescent="0.2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38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</row>
    <row r="284" spans="1:111" s="2" customFormat="1" x14ac:dyDescent="0.2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38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</row>
    <row r="285" spans="1:111" s="2" customFormat="1" x14ac:dyDescent="0.2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38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</row>
    <row r="286" spans="1:111" s="2" customFormat="1" x14ac:dyDescent="0.2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38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</row>
    <row r="287" spans="1:111" s="2" customFormat="1" x14ac:dyDescent="0.2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38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</row>
    <row r="288" spans="1:111" s="2" customFormat="1" x14ac:dyDescent="0.2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38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</row>
    <row r="289" spans="1:111" s="2" customFormat="1" x14ac:dyDescent="0.2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38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</row>
    <row r="290" spans="1:111" s="2" customFormat="1" x14ac:dyDescent="0.2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38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</row>
    <row r="291" spans="1:111" s="2" customFormat="1" x14ac:dyDescent="0.2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38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</row>
    <row r="292" spans="1:111" s="2" customFormat="1" x14ac:dyDescent="0.2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38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</row>
    <row r="293" spans="1:111" s="2" customFormat="1" x14ac:dyDescent="0.2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38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</row>
    <row r="294" spans="1:111" s="2" customFormat="1" x14ac:dyDescent="0.2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38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</row>
    <row r="295" spans="1:111" s="2" customFormat="1" x14ac:dyDescent="0.2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38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</row>
    <row r="296" spans="1:111" s="2" customFormat="1" x14ac:dyDescent="0.2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38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</row>
    <row r="297" spans="1:111" s="2" customFormat="1" x14ac:dyDescent="0.2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38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</row>
    <row r="298" spans="1:111" s="2" customFormat="1" x14ac:dyDescent="0.2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38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</row>
    <row r="299" spans="1:111" s="2" customFormat="1" x14ac:dyDescent="0.2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38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</row>
    <row r="300" spans="1:111" s="2" customFormat="1" x14ac:dyDescent="0.2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38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</row>
    <row r="301" spans="1:111" s="2" customFormat="1" x14ac:dyDescent="0.2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38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</row>
    <row r="302" spans="1:111" s="2" customFormat="1" x14ac:dyDescent="0.2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38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</row>
    <row r="303" spans="1:111" s="2" customFormat="1" x14ac:dyDescent="0.2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38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</row>
    <row r="304" spans="1:111" s="2" customFormat="1" x14ac:dyDescent="0.2">
      <c r="K304" s="3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</row>
    <row r="305" spans="11:111" s="2" customFormat="1" x14ac:dyDescent="0.2">
      <c r="K305" s="3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</row>
    <row r="306" spans="11:111" s="2" customFormat="1" x14ac:dyDescent="0.2">
      <c r="K306" s="3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</row>
    <row r="307" spans="11:111" s="2" customFormat="1" x14ac:dyDescent="0.2">
      <c r="K307" s="3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</row>
    <row r="308" spans="11:111" s="2" customFormat="1" x14ac:dyDescent="0.2">
      <c r="K308" s="3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</row>
    <row r="309" spans="11:111" s="2" customFormat="1" x14ac:dyDescent="0.2">
      <c r="K309" s="3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</row>
    <row r="310" spans="11:111" s="2" customFormat="1" x14ac:dyDescent="0.2">
      <c r="K310" s="3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</row>
    <row r="311" spans="11:111" s="2" customFormat="1" x14ac:dyDescent="0.2">
      <c r="K311" s="3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</row>
    <row r="312" spans="11:111" s="2" customFormat="1" x14ac:dyDescent="0.2">
      <c r="K312" s="3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</row>
    <row r="313" spans="11:111" s="2" customFormat="1" x14ac:dyDescent="0.2">
      <c r="K313" s="3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</row>
    <row r="314" spans="11:111" s="2" customFormat="1" x14ac:dyDescent="0.2">
      <c r="K314" s="3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</row>
    <row r="315" spans="11:111" s="2" customFormat="1" x14ac:dyDescent="0.2">
      <c r="K315" s="3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</row>
    <row r="316" spans="11:111" s="2" customFormat="1" x14ac:dyDescent="0.2">
      <c r="K316" s="3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</row>
    <row r="317" spans="11:111" s="2" customFormat="1" x14ac:dyDescent="0.2">
      <c r="K317" s="3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</row>
    <row r="318" spans="11:111" s="2" customFormat="1" x14ac:dyDescent="0.2">
      <c r="K318" s="3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</row>
    <row r="319" spans="11:111" s="2" customFormat="1" x14ac:dyDescent="0.2">
      <c r="K319" s="3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</row>
    <row r="320" spans="11:111" s="2" customFormat="1" x14ac:dyDescent="0.2">
      <c r="K320" s="3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</row>
    <row r="321" spans="11:111" s="2" customFormat="1" x14ac:dyDescent="0.2">
      <c r="K321" s="3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</row>
    <row r="322" spans="11:111" s="2" customFormat="1" x14ac:dyDescent="0.2">
      <c r="K322" s="3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</row>
    <row r="323" spans="11:111" s="2" customFormat="1" x14ac:dyDescent="0.2">
      <c r="K323" s="3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</row>
    <row r="324" spans="11:111" s="2" customFormat="1" x14ac:dyDescent="0.2">
      <c r="K324" s="3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</row>
    <row r="325" spans="11:111" s="2" customFormat="1" x14ac:dyDescent="0.2">
      <c r="K325" s="3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</row>
    <row r="326" spans="11:111" s="2" customFormat="1" x14ac:dyDescent="0.2">
      <c r="K326" s="3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</row>
    <row r="327" spans="11:111" s="2" customFormat="1" x14ac:dyDescent="0.2">
      <c r="K327" s="3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</row>
    <row r="328" spans="11:111" s="2" customFormat="1" x14ac:dyDescent="0.2">
      <c r="K328" s="3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</row>
    <row r="329" spans="11:111" s="2" customFormat="1" x14ac:dyDescent="0.2">
      <c r="K329" s="3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</row>
    <row r="330" spans="11:111" s="2" customFormat="1" x14ac:dyDescent="0.2">
      <c r="K330" s="3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</row>
    <row r="331" spans="11:111" s="2" customFormat="1" x14ac:dyDescent="0.2">
      <c r="K331" s="3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</row>
    <row r="332" spans="11:111" s="2" customFormat="1" x14ac:dyDescent="0.2">
      <c r="K332" s="3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</row>
    <row r="333" spans="11:111" s="2" customFormat="1" x14ac:dyDescent="0.2">
      <c r="K333" s="3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</row>
    <row r="334" spans="11:111" s="2" customFormat="1" x14ac:dyDescent="0.2">
      <c r="K334" s="3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</row>
    <row r="335" spans="11:111" s="2" customFormat="1" x14ac:dyDescent="0.2">
      <c r="K335" s="3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</row>
    <row r="336" spans="11:111" s="2" customFormat="1" x14ac:dyDescent="0.2">
      <c r="K336" s="3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</row>
    <row r="337" spans="11:111" s="2" customFormat="1" x14ac:dyDescent="0.2">
      <c r="K337" s="3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</row>
    <row r="338" spans="11:111" s="2" customFormat="1" x14ac:dyDescent="0.2">
      <c r="K338" s="3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</row>
    <row r="339" spans="11:111" s="2" customFormat="1" x14ac:dyDescent="0.2">
      <c r="K339" s="3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</row>
    <row r="340" spans="11:111" s="2" customFormat="1" x14ac:dyDescent="0.2">
      <c r="K340" s="3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</row>
    <row r="341" spans="11:111" s="2" customFormat="1" x14ac:dyDescent="0.2">
      <c r="K341" s="3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</row>
    <row r="342" spans="11:111" s="2" customFormat="1" x14ac:dyDescent="0.2">
      <c r="K342" s="3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</row>
    <row r="343" spans="11:111" s="2" customFormat="1" x14ac:dyDescent="0.2">
      <c r="K343" s="3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</row>
    <row r="344" spans="11:111" s="2" customFormat="1" x14ac:dyDescent="0.2">
      <c r="K344" s="3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</row>
    <row r="345" spans="11:111" s="2" customFormat="1" x14ac:dyDescent="0.2">
      <c r="K345" s="3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</row>
    <row r="346" spans="11:111" s="2" customFormat="1" x14ac:dyDescent="0.2">
      <c r="K346" s="3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</row>
    <row r="347" spans="11:111" s="2" customFormat="1" x14ac:dyDescent="0.2">
      <c r="K347" s="3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</row>
    <row r="348" spans="11:111" s="2" customFormat="1" x14ac:dyDescent="0.2">
      <c r="K348" s="3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</row>
    <row r="349" spans="11:111" s="2" customFormat="1" x14ac:dyDescent="0.2">
      <c r="K349" s="3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</row>
    <row r="350" spans="11:111" s="2" customFormat="1" x14ac:dyDescent="0.2">
      <c r="K350" s="3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</row>
    <row r="351" spans="11:111" s="2" customFormat="1" x14ac:dyDescent="0.2">
      <c r="K351" s="3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</row>
    <row r="352" spans="11:111" s="2" customFormat="1" x14ac:dyDescent="0.2">
      <c r="K352" s="3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</row>
    <row r="353" spans="11:111" s="2" customFormat="1" x14ac:dyDescent="0.2">
      <c r="K353" s="3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</row>
    <row r="354" spans="11:111" s="2" customFormat="1" x14ac:dyDescent="0.2">
      <c r="K354" s="3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</row>
    <row r="355" spans="11:111" s="2" customFormat="1" x14ac:dyDescent="0.2">
      <c r="K355" s="3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</row>
    <row r="356" spans="11:111" s="2" customFormat="1" x14ac:dyDescent="0.2">
      <c r="K356" s="3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</row>
    <row r="357" spans="11:111" s="2" customFormat="1" x14ac:dyDescent="0.2">
      <c r="K357" s="3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</row>
    <row r="358" spans="11:111" s="2" customFormat="1" x14ac:dyDescent="0.2">
      <c r="K358" s="3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</row>
    <row r="359" spans="11:111" s="2" customFormat="1" x14ac:dyDescent="0.2">
      <c r="K359" s="3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</row>
    <row r="360" spans="11:111" s="2" customFormat="1" x14ac:dyDescent="0.2">
      <c r="K360" s="3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</row>
    <row r="361" spans="11:111" s="2" customFormat="1" x14ac:dyDescent="0.2">
      <c r="K361" s="3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</row>
    <row r="362" spans="11:111" s="2" customFormat="1" x14ac:dyDescent="0.2">
      <c r="K362" s="3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</row>
    <row r="363" spans="11:111" s="2" customFormat="1" x14ac:dyDescent="0.2">
      <c r="K363" s="3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</row>
    <row r="364" spans="11:111" s="2" customFormat="1" x14ac:dyDescent="0.2">
      <c r="K364" s="3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</row>
    <row r="365" spans="11:111" s="2" customFormat="1" x14ac:dyDescent="0.2">
      <c r="K365" s="3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</row>
    <row r="366" spans="11:111" s="2" customFormat="1" x14ac:dyDescent="0.2">
      <c r="K366" s="3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</row>
    <row r="367" spans="11:111" s="2" customFormat="1" x14ac:dyDescent="0.2">
      <c r="K367" s="3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</row>
    <row r="368" spans="11:111" s="2" customFormat="1" x14ac:dyDescent="0.2">
      <c r="K368" s="3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</row>
    <row r="369" spans="11:111" s="2" customFormat="1" x14ac:dyDescent="0.2">
      <c r="K369" s="3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</row>
    <row r="370" spans="11:111" s="2" customFormat="1" x14ac:dyDescent="0.2">
      <c r="K370" s="3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</row>
    <row r="371" spans="11:111" s="2" customFormat="1" x14ac:dyDescent="0.2">
      <c r="K371" s="3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</row>
    <row r="372" spans="11:111" s="2" customFormat="1" x14ac:dyDescent="0.2">
      <c r="K372" s="3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</row>
    <row r="373" spans="11:111" s="2" customFormat="1" x14ac:dyDescent="0.2">
      <c r="K373" s="3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</row>
    <row r="374" spans="11:111" s="2" customFormat="1" x14ac:dyDescent="0.2">
      <c r="K374" s="3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</row>
    <row r="375" spans="11:111" s="2" customFormat="1" x14ac:dyDescent="0.2">
      <c r="K375" s="3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</row>
    <row r="376" spans="11:111" s="2" customFormat="1" x14ac:dyDescent="0.2">
      <c r="K376" s="3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</row>
    <row r="377" spans="11:111" s="2" customFormat="1" x14ac:dyDescent="0.2">
      <c r="K377" s="3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</row>
    <row r="378" spans="11:111" s="2" customFormat="1" x14ac:dyDescent="0.2">
      <c r="K378" s="3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</row>
    <row r="379" spans="11:111" s="2" customFormat="1" x14ac:dyDescent="0.2">
      <c r="K379" s="3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</row>
    <row r="380" spans="11:111" s="2" customFormat="1" x14ac:dyDescent="0.2">
      <c r="K380" s="3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</row>
    <row r="381" spans="11:111" s="2" customFormat="1" x14ac:dyDescent="0.2">
      <c r="K381" s="3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</row>
    <row r="382" spans="11:111" s="2" customFormat="1" x14ac:dyDescent="0.2">
      <c r="K382" s="3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</row>
    <row r="383" spans="11:111" s="2" customFormat="1" x14ac:dyDescent="0.2"/>
    <row r="384" spans="11:111" s="2" customFormat="1" x14ac:dyDescent="0.2"/>
    <row r="385" s="2" customFormat="1" x14ac:dyDescent="0.2"/>
    <row r="386" s="2" customFormat="1" x14ac:dyDescent="0.2"/>
    <row r="387" s="2" customFormat="1" x14ac:dyDescent="0.2"/>
    <row r="388" s="2" customFormat="1" x14ac:dyDescent="0.2"/>
    <row r="389" s="2" customFormat="1" x14ac:dyDescent="0.2"/>
    <row r="390" s="2" customFormat="1" x14ac:dyDescent="0.2"/>
    <row r="391" s="2" customFormat="1" x14ac:dyDescent="0.2"/>
    <row r="392" s="2" customFormat="1" x14ac:dyDescent="0.2"/>
    <row r="393" s="2" customFormat="1" x14ac:dyDescent="0.2"/>
    <row r="394" s="2" customFormat="1" x14ac:dyDescent="0.2"/>
    <row r="395" s="2" customFormat="1" x14ac:dyDescent="0.2"/>
    <row r="396" s="2" customFormat="1" x14ac:dyDescent="0.2"/>
    <row r="397" s="2" customFormat="1" x14ac:dyDescent="0.2"/>
    <row r="398" s="2" customFormat="1" x14ac:dyDescent="0.2"/>
    <row r="399" s="2" customFormat="1" x14ac:dyDescent="0.2"/>
    <row r="400" s="2" customFormat="1" x14ac:dyDescent="0.2"/>
    <row r="401" s="2" customFormat="1" x14ac:dyDescent="0.2"/>
    <row r="402" s="2" customFormat="1" x14ac:dyDescent="0.2"/>
    <row r="403" s="2" customFormat="1" x14ac:dyDescent="0.2"/>
    <row r="404" s="2" customFormat="1" x14ac:dyDescent="0.2"/>
    <row r="405" s="2" customFormat="1" x14ac:dyDescent="0.2"/>
    <row r="406" s="2" customFormat="1" x14ac:dyDescent="0.2"/>
    <row r="407" s="2" customFormat="1" x14ac:dyDescent="0.2"/>
    <row r="408" s="2" customFormat="1" x14ac:dyDescent="0.2"/>
    <row r="409" s="2" customFormat="1" x14ac:dyDescent="0.2"/>
    <row r="410" s="2" customFormat="1" x14ac:dyDescent="0.2"/>
    <row r="411" s="2" customFormat="1" x14ac:dyDescent="0.2"/>
    <row r="412" s="2" customFormat="1" x14ac:dyDescent="0.2"/>
    <row r="413" s="2" customFormat="1" x14ac:dyDescent="0.2"/>
    <row r="414" s="2" customFormat="1" x14ac:dyDescent="0.2"/>
    <row r="415" s="2" customFormat="1" x14ac:dyDescent="0.2"/>
    <row r="416" s="2" customFormat="1" x14ac:dyDescent="0.2"/>
    <row r="417" s="2" customFormat="1" x14ac:dyDescent="0.2"/>
    <row r="418" s="2" customFormat="1" x14ac:dyDescent="0.2"/>
    <row r="419" s="2" customFormat="1" x14ac:dyDescent="0.2"/>
    <row r="420" s="2" customFormat="1" x14ac:dyDescent="0.2"/>
    <row r="421" s="2" customFormat="1" x14ac:dyDescent="0.2"/>
    <row r="422" s="2" customFormat="1" x14ac:dyDescent="0.2"/>
    <row r="423" s="2" customFormat="1" x14ac:dyDescent="0.2"/>
    <row r="424" s="2" customFormat="1" x14ac:dyDescent="0.2"/>
    <row r="425" s="2" customFormat="1" x14ac:dyDescent="0.2"/>
    <row r="426" s="2" customFormat="1" x14ac:dyDescent="0.2"/>
    <row r="427" s="2" customFormat="1" x14ac:dyDescent="0.2"/>
    <row r="428" s="2" customFormat="1" x14ac:dyDescent="0.2"/>
    <row r="429" s="2" customFormat="1" x14ac:dyDescent="0.2"/>
    <row r="430" s="2" customFormat="1" x14ac:dyDescent="0.2"/>
    <row r="431" s="2" customFormat="1" x14ac:dyDescent="0.2"/>
    <row r="432" s="2" customFormat="1" x14ac:dyDescent="0.2"/>
    <row r="433" s="2" customFormat="1" x14ac:dyDescent="0.2"/>
    <row r="434" s="2" customFormat="1" x14ac:dyDescent="0.2"/>
    <row r="435" s="2" customFormat="1" x14ac:dyDescent="0.2"/>
    <row r="436" s="2" customFormat="1" x14ac:dyDescent="0.2"/>
    <row r="437" s="2" customFormat="1" x14ac:dyDescent="0.2"/>
    <row r="438" s="2" customFormat="1" x14ac:dyDescent="0.2"/>
    <row r="439" s="2" customFormat="1" x14ac:dyDescent="0.2"/>
    <row r="440" s="2" customFormat="1" x14ac:dyDescent="0.2"/>
    <row r="441" s="2" customFormat="1" x14ac:dyDescent="0.2"/>
    <row r="442" s="2" customFormat="1" x14ac:dyDescent="0.2"/>
    <row r="443" s="2" customFormat="1" x14ac:dyDescent="0.2"/>
    <row r="444" s="2" customFormat="1" x14ac:dyDescent="0.2"/>
    <row r="445" s="2" customFormat="1" x14ac:dyDescent="0.2"/>
    <row r="446" s="2" customFormat="1" x14ac:dyDescent="0.2"/>
    <row r="447" s="2" customFormat="1" x14ac:dyDescent="0.2"/>
    <row r="448" s="2" customFormat="1" x14ac:dyDescent="0.2"/>
    <row r="449" s="2" customFormat="1" x14ac:dyDescent="0.2"/>
    <row r="450" s="2" customFormat="1" x14ac:dyDescent="0.2"/>
    <row r="451" s="2" customFormat="1" x14ac:dyDescent="0.2"/>
    <row r="452" s="2" customFormat="1" x14ac:dyDescent="0.2"/>
    <row r="453" s="2" customFormat="1" x14ac:dyDescent="0.2"/>
    <row r="454" s="2" customFormat="1" x14ac:dyDescent="0.2"/>
    <row r="455" s="2" customFormat="1" x14ac:dyDescent="0.2"/>
    <row r="456" s="2" customFormat="1" x14ac:dyDescent="0.2"/>
    <row r="457" s="2" customFormat="1" x14ac:dyDescent="0.2"/>
    <row r="458" s="2" customFormat="1" x14ac:dyDescent="0.2"/>
    <row r="459" s="2" customFormat="1" x14ac:dyDescent="0.2"/>
    <row r="460" s="2" customFormat="1" x14ac:dyDescent="0.2"/>
    <row r="461" s="2" customFormat="1" x14ac:dyDescent="0.2"/>
    <row r="462" s="2" customFormat="1" x14ac:dyDescent="0.2"/>
    <row r="463" s="2" customFormat="1" x14ac:dyDescent="0.2"/>
    <row r="464" s="2" customFormat="1" x14ac:dyDescent="0.2"/>
    <row r="465" s="2" customFormat="1" x14ac:dyDescent="0.2"/>
    <row r="466" s="2" customFormat="1" x14ac:dyDescent="0.2"/>
    <row r="467" s="2" customFormat="1" x14ac:dyDescent="0.2"/>
    <row r="468" s="2" customFormat="1" x14ac:dyDescent="0.2"/>
    <row r="469" s="2" customFormat="1" x14ac:dyDescent="0.2"/>
    <row r="470" s="2" customFormat="1" x14ac:dyDescent="0.2"/>
    <row r="471" s="2" customFormat="1" x14ac:dyDescent="0.2"/>
    <row r="472" s="2" customFormat="1" x14ac:dyDescent="0.2"/>
    <row r="473" s="2" customFormat="1" x14ac:dyDescent="0.2"/>
    <row r="474" s="2" customFormat="1" x14ac:dyDescent="0.2"/>
    <row r="475" s="2" customFormat="1" x14ac:dyDescent="0.2"/>
    <row r="476" s="2" customFormat="1" x14ac:dyDescent="0.2"/>
    <row r="477" s="2" customFormat="1" x14ac:dyDescent="0.2"/>
    <row r="478" s="2" customFormat="1" x14ac:dyDescent="0.2"/>
    <row r="479" s="2" customFormat="1" x14ac:dyDescent="0.2"/>
    <row r="480" s="2" customFormat="1" x14ac:dyDescent="0.2"/>
    <row r="481" s="2" customFormat="1" x14ac:dyDescent="0.2"/>
    <row r="482" s="2" customFormat="1" x14ac:dyDescent="0.2"/>
    <row r="483" s="2" customFormat="1" x14ac:dyDescent="0.2"/>
    <row r="484" s="2" customFormat="1" x14ac:dyDescent="0.2"/>
    <row r="485" s="2" customFormat="1" x14ac:dyDescent="0.2"/>
    <row r="486" s="2" customFormat="1" x14ac:dyDescent="0.2"/>
    <row r="487" s="2" customFormat="1" x14ac:dyDescent="0.2"/>
    <row r="488" s="2" customFormat="1" x14ac:dyDescent="0.2"/>
    <row r="489" s="2" customFormat="1" x14ac:dyDescent="0.2"/>
    <row r="490" s="2" customFormat="1" x14ac:dyDescent="0.2"/>
    <row r="491" s="2" customFormat="1" x14ac:dyDescent="0.2"/>
    <row r="492" s="2" customFormat="1" x14ac:dyDescent="0.2"/>
    <row r="493" s="2" customFormat="1" x14ac:dyDescent="0.2"/>
    <row r="494" s="2" customFormat="1" x14ac:dyDescent="0.2"/>
    <row r="495" s="2" customFormat="1" x14ac:dyDescent="0.2"/>
    <row r="496" s="2" customFormat="1" x14ac:dyDescent="0.2"/>
    <row r="497" s="2" customFormat="1" x14ac:dyDescent="0.2"/>
    <row r="498" s="2" customFormat="1" x14ac:dyDescent="0.2"/>
    <row r="499" s="2" customFormat="1" x14ac:dyDescent="0.2"/>
    <row r="500" s="2" customFormat="1" x14ac:dyDescent="0.2"/>
    <row r="501" s="2" customFormat="1" x14ac:dyDescent="0.2"/>
    <row r="502" s="2" customFormat="1" x14ac:dyDescent="0.2"/>
    <row r="503" s="2" customFormat="1" x14ac:dyDescent="0.2"/>
    <row r="504" s="2" customFormat="1" x14ac:dyDescent="0.2"/>
    <row r="505" s="2" customFormat="1" x14ac:dyDescent="0.2"/>
    <row r="506" s="2" customFormat="1" x14ac:dyDescent="0.2"/>
    <row r="507" s="2" customFormat="1" x14ac:dyDescent="0.2"/>
    <row r="508" s="2" customFormat="1" x14ac:dyDescent="0.2"/>
    <row r="509" s="2" customFormat="1" x14ac:dyDescent="0.2"/>
    <row r="510" s="2" customFormat="1" x14ac:dyDescent="0.2"/>
    <row r="511" s="2" customFormat="1" x14ac:dyDescent="0.2"/>
    <row r="512" s="2" customFormat="1" x14ac:dyDescent="0.2"/>
    <row r="513" s="2" customFormat="1" x14ac:dyDescent="0.2"/>
    <row r="514" s="2" customFormat="1" x14ac:dyDescent="0.2"/>
    <row r="515" s="2" customFormat="1" x14ac:dyDescent="0.2"/>
    <row r="516" s="2" customFormat="1" x14ac:dyDescent="0.2"/>
    <row r="517" s="2" customFormat="1" x14ac:dyDescent="0.2"/>
    <row r="518" s="2" customFormat="1" x14ac:dyDescent="0.2"/>
    <row r="519" s="2" customFormat="1" x14ac:dyDescent="0.2"/>
    <row r="520" s="2" customFormat="1" x14ac:dyDescent="0.2"/>
    <row r="521" s="2" customFormat="1" x14ac:dyDescent="0.2"/>
    <row r="522" s="2" customFormat="1" x14ac:dyDescent="0.2"/>
    <row r="523" s="2" customFormat="1" x14ac:dyDescent="0.2"/>
    <row r="524" s="2" customFormat="1" x14ac:dyDescent="0.2"/>
    <row r="525" s="2" customFormat="1" x14ac:dyDescent="0.2"/>
    <row r="526" s="2" customFormat="1" x14ac:dyDescent="0.2"/>
    <row r="527" s="2" customFormat="1" x14ac:dyDescent="0.2"/>
    <row r="528" s="2" customFormat="1" x14ac:dyDescent="0.2"/>
    <row r="529" s="2" customFormat="1" x14ac:dyDescent="0.2"/>
    <row r="530" s="2" customFormat="1" x14ac:dyDescent="0.2"/>
    <row r="531" s="2" customFormat="1" x14ac:dyDescent="0.2"/>
    <row r="532" s="2" customFormat="1" x14ac:dyDescent="0.2"/>
    <row r="533" s="2" customFormat="1" x14ac:dyDescent="0.2"/>
    <row r="534" s="2" customFormat="1" x14ac:dyDescent="0.2"/>
    <row r="535" s="2" customFormat="1" x14ac:dyDescent="0.2"/>
    <row r="536" s="2" customFormat="1" x14ac:dyDescent="0.2"/>
    <row r="537" s="2" customFormat="1" x14ac:dyDescent="0.2"/>
    <row r="538" s="2" customFormat="1" x14ac:dyDescent="0.2"/>
    <row r="539" s="2" customFormat="1" x14ac:dyDescent="0.2"/>
    <row r="540" s="2" customFormat="1" x14ac:dyDescent="0.2"/>
    <row r="541" s="2" customFormat="1" x14ac:dyDescent="0.2"/>
    <row r="542" s="2" customFormat="1" x14ac:dyDescent="0.2"/>
    <row r="543" s="2" customFormat="1" x14ac:dyDescent="0.2"/>
    <row r="544" s="2" customFormat="1" x14ac:dyDescent="0.2"/>
    <row r="545" s="2" customFormat="1" x14ac:dyDescent="0.2"/>
    <row r="546" s="2" customFormat="1" x14ac:dyDescent="0.2"/>
    <row r="547" s="2" customFormat="1" x14ac:dyDescent="0.2"/>
    <row r="548" s="2" customFormat="1" x14ac:dyDescent="0.2"/>
    <row r="549" s="2" customFormat="1" x14ac:dyDescent="0.2"/>
    <row r="550" s="2" customFormat="1" x14ac:dyDescent="0.2"/>
    <row r="551" s="2" customFormat="1" x14ac:dyDescent="0.2"/>
    <row r="552" s="2" customFormat="1" x14ac:dyDescent="0.2"/>
    <row r="553" s="2" customFormat="1" x14ac:dyDescent="0.2"/>
    <row r="554" s="2" customFormat="1" x14ac:dyDescent="0.2"/>
    <row r="555" s="2" customFormat="1" x14ac:dyDescent="0.2"/>
    <row r="556" s="2" customFormat="1" x14ac:dyDescent="0.2"/>
    <row r="557" s="2" customFormat="1" x14ac:dyDescent="0.2"/>
    <row r="558" s="2" customFormat="1" x14ac:dyDescent="0.2"/>
    <row r="559" s="2" customFormat="1" x14ac:dyDescent="0.2"/>
    <row r="560" s="2" customFormat="1" x14ac:dyDescent="0.2"/>
    <row r="561" s="2" customFormat="1" x14ac:dyDescent="0.2"/>
    <row r="562" s="2" customFormat="1" x14ac:dyDescent="0.2"/>
    <row r="563" s="2" customFormat="1" x14ac:dyDescent="0.2"/>
    <row r="564" s="2" customFormat="1" x14ac:dyDescent="0.2"/>
    <row r="565" s="2" customFormat="1" x14ac:dyDescent="0.2"/>
    <row r="566" s="2" customFormat="1" x14ac:dyDescent="0.2"/>
    <row r="567" s="2" customFormat="1" x14ac:dyDescent="0.2"/>
    <row r="568" s="2" customFormat="1" x14ac:dyDescent="0.2"/>
    <row r="569" s="2" customFormat="1" x14ac:dyDescent="0.2"/>
    <row r="570" s="2" customFormat="1" x14ac:dyDescent="0.2"/>
    <row r="571" s="2" customFormat="1" x14ac:dyDescent="0.2"/>
    <row r="572" s="2" customFormat="1" x14ac:dyDescent="0.2"/>
    <row r="573" s="2" customFormat="1" x14ac:dyDescent="0.2"/>
    <row r="574" s="2" customFormat="1" x14ac:dyDescent="0.2"/>
    <row r="575" s="2" customFormat="1" x14ac:dyDescent="0.2"/>
    <row r="576" s="2" customFormat="1" x14ac:dyDescent="0.2"/>
    <row r="577" s="2" customFormat="1" x14ac:dyDescent="0.2"/>
    <row r="578" s="2" customFormat="1" x14ac:dyDescent="0.2"/>
    <row r="579" s="2" customFormat="1" x14ac:dyDescent="0.2"/>
    <row r="580" s="2" customFormat="1" x14ac:dyDescent="0.2"/>
    <row r="581" s="2" customFormat="1" x14ac:dyDescent="0.2"/>
    <row r="582" s="2" customFormat="1" x14ac:dyDescent="0.2"/>
    <row r="583" s="2" customFormat="1" x14ac:dyDescent="0.2"/>
    <row r="584" s="2" customFormat="1" x14ac:dyDescent="0.2"/>
    <row r="585" s="2" customFormat="1" x14ac:dyDescent="0.2"/>
    <row r="586" s="2" customFormat="1" x14ac:dyDescent="0.2"/>
    <row r="587" s="2" customFormat="1" x14ac:dyDescent="0.2"/>
    <row r="588" s="2" customFormat="1" x14ac:dyDescent="0.2"/>
    <row r="589" s="2" customFormat="1" x14ac:dyDescent="0.2"/>
    <row r="590" s="2" customFormat="1" x14ac:dyDescent="0.2"/>
    <row r="591" s="2" customFormat="1" x14ac:dyDescent="0.2"/>
    <row r="592" s="2" customFormat="1" x14ac:dyDescent="0.2"/>
    <row r="593" s="2" customFormat="1" x14ac:dyDescent="0.2"/>
    <row r="594" s="2" customFormat="1" x14ac:dyDescent="0.2"/>
    <row r="595" s="2" customFormat="1" x14ac:dyDescent="0.2"/>
    <row r="596" s="2" customFormat="1" x14ac:dyDescent="0.2"/>
    <row r="597" s="2" customFormat="1" x14ac:dyDescent="0.2"/>
    <row r="598" s="2" customFormat="1" x14ac:dyDescent="0.2"/>
    <row r="599" s="2" customFormat="1" x14ac:dyDescent="0.2"/>
    <row r="600" s="2" customFormat="1" x14ac:dyDescent="0.2"/>
    <row r="601" s="2" customFormat="1" x14ac:dyDescent="0.2"/>
    <row r="602" s="2" customFormat="1" x14ac:dyDescent="0.2"/>
    <row r="603" s="2" customFormat="1" x14ac:dyDescent="0.2"/>
    <row r="604" s="2" customFormat="1" x14ac:dyDescent="0.2"/>
    <row r="605" s="2" customFormat="1" x14ac:dyDescent="0.2"/>
    <row r="606" s="2" customFormat="1" x14ac:dyDescent="0.2"/>
    <row r="607" s="2" customFormat="1" x14ac:dyDescent="0.2"/>
    <row r="608" s="2" customFormat="1" x14ac:dyDescent="0.2"/>
    <row r="609" s="2" customFormat="1" x14ac:dyDescent="0.2"/>
    <row r="610" s="2" customFormat="1" x14ac:dyDescent="0.2"/>
    <row r="611" s="2" customFormat="1" x14ac:dyDescent="0.2"/>
    <row r="612" s="2" customFormat="1" x14ac:dyDescent="0.2"/>
    <row r="613" s="2" customFormat="1" x14ac:dyDescent="0.2"/>
    <row r="614" s="2" customFormat="1" x14ac:dyDescent="0.2"/>
    <row r="615" s="2" customFormat="1" x14ac:dyDescent="0.2"/>
    <row r="616" s="2" customFormat="1" x14ac:dyDescent="0.2"/>
    <row r="617" s="2" customFormat="1" x14ac:dyDescent="0.2"/>
    <row r="618" s="2" customFormat="1" x14ac:dyDescent="0.2"/>
    <row r="619" s="2" customFormat="1" x14ac:dyDescent="0.2"/>
    <row r="620" s="2" customFormat="1" x14ac:dyDescent="0.2"/>
    <row r="621" s="2" customFormat="1" x14ac:dyDescent="0.2"/>
    <row r="622" s="2" customFormat="1" x14ac:dyDescent="0.2"/>
    <row r="623" s="2" customFormat="1" x14ac:dyDescent="0.2"/>
    <row r="624" s="2" customFormat="1" x14ac:dyDescent="0.2"/>
    <row r="625" s="2" customFormat="1" x14ac:dyDescent="0.2"/>
    <row r="626" s="2" customFormat="1" x14ac:dyDescent="0.2"/>
    <row r="627" s="2" customFormat="1" x14ac:dyDescent="0.2"/>
    <row r="628" s="2" customFormat="1" x14ac:dyDescent="0.2"/>
    <row r="629" s="2" customFormat="1" x14ac:dyDescent="0.2"/>
    <row r="630" s="2" customFormat="1" x14ac:dyDescent="0.2"/>
    <row r="631" s="2" customFormat="1" x14ac:dyDescent="0.2"/>
    <row r="632" s="2" customFormat="1" x14ac:dyDescent="0.2"/>
    <row r="633" s="2" customFormat="1" x14ac:dyDescent="0.2"/>
    <row r="634" s="2" customFormat="1" x14ac:dyDescent="0.2"/>
    <row r="635" s="2" customFormat="1" x14ac:dyDescent="0.2"/>
    <row r="636" s="2" customFormat="1" x14ac:dyDescent="0.2"/>
    <row r="637" s="2" customFormat="1" x14ac:dyDescent="0.2"/>
    <row r="638" s="2" customFormat="1" x14ac:dyDescent="0.2"/>
    <row r="639" s="2" customFormat="1" x14ac:dyDescent="0.2"/>
    <row r="640" s="2" customFormat="1" x14ac:dyDescent="0.2"/>
    <row r="641" s="2" customFormat="1" x14ac:dyDescent="0.2"/>
    <row r="642" s="2" customFormat="1" x14ac:dyDescent="0.2"/>
    <row r="643" s="2" customFormat="1" x14ac:dyDescent="0.2"/>
    <row r="644" s="2" customFormat="1" x14ac:dyDescent="0.2"/>
    <row r="645" s="2" customFormat="1" x14ac:dyDescent="0.2"/>
    <row r="646" s="2" customFormat="1" x14ac:dyDescent="0.2"/>
    <row r="647" s="2" customFormat="1" x14ac:dyDescent="0.2"/>
    <row r="648" s="2" customFormat="1" x14ac:dyDescent="0.2"/>
    <row r="649" s="2" customFormat="1" x14ac:dyDescent="0.2"/>
    <row r="650" s="2" customFormat="1" x14ac:dyDescent="0.2"/>
    <row r="651" s="2" customFormat="1" x14ac:dyDescent="0.2"/>
    <row r="652" s="2" customFormat="1" x14ac:dyDescent="0.2"/>
    <row r="653" s="2" customFormat="1" x14ac:dyDescent="0.2"/>
    <row r="654" s="2" customFormat="1" x14ac:dyDescent="0.2"/>
    <row r="655" s="2" customFormat="1" x14ac:dyDescent="0.2"/>
    <row r="656" s="2" customFormat="1" x14ac:dyDescent="0.2"/>
    <row r="657" s="2" customFormat="1" x14ac:dyDescent="0.2"/>
    <row r="658" s="2" customFormat="1" x14ac:dyDescent="0.2"/>
    <row r="659" s="2" customFormat="1" x14ac:dyDescent="0.2"/>
    <row r="660" s="2" customFormat="1" x14ac:dyDescent="0.2"/>
    <row r="661" s="2" customFormat="1" x14ac:dyDescent="0.2"/>
    <row r="662" s="2" customFormat="1" x14ac:dyDescent="0.2"/>
    <row r="663" s="2" customFormat="1" x14ac:dyDescent="0.2"/>
    <row r="664" s="2" customFormat="1" x14ac:dyDescent="0.2"/>
    <row r="665" s="2" customFormat="1" x14ac:dyDescent="0.2"/>
    <row r="666" s="2" customFormat="1" x14ac:dyDescent="0.2"/>
    <row r="667" s="2" customFormat="1" x14ac:dyDescent="0.2"/>
    <row r="668" s="2" customFormat="1" x14ac:dyDescent="0.2"/>
    <row r="669" s="2" customFormat="1" x14ac:dyDescent="0.2"/>
    <row r="670" s="2" customFormat="1" x14ac:dyDescent="0.2"/>
    <row r="671" s="2" customFormat="1" x14ac:dyDescent="0.2"/>
    <row r="672" s="2" customFormat="1" x14ac:dyDescent="0.2"/>
    <row r="673" s="2" customFormat="1" x14ac:dyDescent="0.2"/>
    <row r="674" s="2" customFormat="1" x14ac:dyDescent="0.2"/>
    <row r="675" s="2" customFormat="1" x14ac:dyDescent="0.2"/>
    <row r="676" s="2" customFormat="1" x14ac:dyDescent="0.2"/>
    <row r="677" s="2" customFormat="1" x14ac:dyDescent="0.2"/>
    <row r="678" s="2" customFormat="1" x14ac:dyDescent="0.2"/>
    <row r="679" s="2" customFormat="1" x14ac:dyDescent="0.2"/>
    <row r="680" s="2" customFormat="1" x14ac:dyDescent="0.2"/>
    <row r="681" s="2" customFormat="1" x14ac:dyDescent="0.2"/>
    <row r="682" s="2" customFormat="1" x14ac:dyDescent="0.2"/>
    <row r="683" s="2" customFormat="1" x14ac:dyDescent="0.2"/>
    <row r="684" s="2" customFormat="1" x14ac:dyDescent="0.2"/>
    <row r="685" s="2" customFormat="1" x14ac:dyDescent="0.2"/>
    <row r="686" s="2" customFormat="1" x14ac:dyDescent="0.2"/>
    <row r="687" s="2" customFormat="1" x14ac:dyDescent="0.2"/>
    <row r="688" s="2" customFormat="1" x14ac:dyDescent="0.2"/>
    <row r="689" s="2" customFormat="1" x14ac:dyDescent="0.2"/>
    <row r="690" s="2" customFormat="1" x14ac:dyDescent="0.2"/>
    <row r="691" s="2" customFormat="1" x14ac:dyDescent="0.2"/>
    <row r="692" s="2" customFormat="1" x14ac:dyDescent="0.2"/>
    <row r="693" s="2" customFormat="1" x14ac:dyDescent="0.2"/>
    <row r="694" s="2" customFormat="1" x14ac:dyDescent="0.2"/>
    <row r="695" s="2" customFormat="1" x14ac:dyDescent="0.2"/>
    <row r="696" s="2" customFormat="1" x14ac:dyDescent="0.2"/>
    <row r="697" s="2" customFormat="1" x14ac:dyDescent="0.2"/>
    <row r="698" s="2" customFormat="1" x14ac:dyDescent="0.2"/>
    <row r="699" s="2" customFormat="1" x14ac:dyDescent="0.2"/>
    <row r="700" s="2" customFormat="1" x14ac:dyDescent="0.2"/>
    <row r="701" s="2" customFormat="1" x14ac:dyDescent="0.2"/>
    <row r="702" s="2" customFormat="1" x14ac:dyDescent="0.2"/>
    <row r="703" s="2" customFormat="1" x14ac:dyDescent="0.2"/>
    <row r="704" s="2" customFormat="1" x14ac:dyDescent="0.2"/>
    <row r="705" s="2" customFormat="1" x14ac:dyDescent="0.2"/>
    <row r="706" s="2" customFormat="1" x14ac:dyDescent="0.2"/>
    <row r="707" s="2" customFormat="1" x14ac:dyDescent="0.2"/>
    <row r="708" s="2" customFormat="1" x14ac:dyDescent="0.2"/>
    <row r="709" s="2" customFormat="1" x14ac:dyDescent="0.2"/>
    <row r="710" s="2" customFormat="1" x14ac:dyDescent="0.2"/>
    <row r="711" s="2" customFormat="1" x14ac:dyDescent="0.2"/>
    <row r="712" s="2" customFormat="1" x14ac:dyDescent="0.2"/>
    <row r="713" s="2" customFormat="1" x14ac:dyDescent="0.2"/>
    <row r="714" s="2" customFormat="1" x14ac:dyDescent="0.2"/>
    <row r="715" s="2" customFormat="1" x14ac:dyDescent="0.2"/>
    <row r="716" s="2" customFormat="1" x14ac:dyDescent="0.2"/>
    <row r="717" s="2" customFormat="1" x14ac:dyDescent="0.2"/>
    <row r="718" s="2" customFormat="1" x14ac:dyDescent="0.2"/>
    <row r="719" s="2" customFormat="1" x14ac:dyDescent="0.2"/>
    <row r="720" s="2" customFormat="1" x14ac:dyDescent="0.2"/>
    <row r="721" s="2" customFormat="1" x14ac:dyDescent="0.2"/>
    <row r="722" s="2" customFormat="1" x14ac:dyDescent="0.2"/>
    <row r="723" s="2" customFormat="1" x14ac:dyDescent="0.2"/>
    <row r="724" s="2" customFormat="1" x14ac:dyDescent="0.2"/>
    <row r="725" s="2" customFormat="1" x14ac:dyDescent="0.2"/>
    <row r="726" s="2" customFormat="1" x14ac:dyDescent="0.2"/>
  </sheetData>
  <mergeCells count="5">
    <mergeCell ref="B5:C5"/>
    <mergeCell ref="F3:G3"/>
    <mergeCell ref="M3:N3"/>
    <mergeCell ref="F4:G4"/>
    <mergeCell ref="M4:N4"/>
  </mergeCells>
  <phoneticPr fontId="0" type="noConversion"/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locked="0" defaultSize="0" print="0" autoFill="0" autoPict="0" macro="[0]!SolveCDSCurve">
                <anchor moveWithCells="1" sizeWithCells="1">
                  <from>
                    <xdr:col>7</xdr:col>
                    <xdr:colOff>304800</xdr:colOff>
                    <xdr:row>2</xdr:row>
                    <xdr:rowOff>38100</xdr:rowOff>
                  </from>
                  <to>
                    <xdr:col>8</xdr:col>
                    <xdr:colOff>276225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G1048576"/>
  <sheetViews>
    <sheetView showGridLines="0" workbookViewId="0">
      <pane ySplit="7" topLeftCell="A8" activePane="bottomLeft" state="frozen"/>
      <selection pane="bottomLeft" activeCell="J30" sqref="J30"/>
    </sheetView>
  </sheetViews>
  <sheetFormatPr defaultRowHeight="12.75" x14ac:dyDescent="0.2"/>
  <cols>
    <col min="1" max="1" width="9.140625" style="2"/>
    <col min="2" max="2" width="14" style="2" customWidth="1"/>
    <col min="3" max="3" width="9.85546875" style="2" customWidth="1"/>
    <col min="4" max="4" width="7.42578125" style="2" customWidth="1"/>
    <col min="5" max="5" width="9.85546875" style="2" customWidth="1"/>
    <col min="6" max="6" width="12" style="2" bestFit="1" customWidth="1"/>
    <col min="7" max="7" width="10" style="2" customWidth="1"/>
    <col min="8" max="10" width="9.85546875" style="2" customWidth="1"/>
    <col min="11" max="11" width="9.140625" style="2"/>
    <col min="12" max="20" width="11.28515625" style="2" bestFit="1" customWidth="1"/>
    <col min="21" max="110" width="12.28515625" style="2" bestFit="1" customWidth="1"/>
    <col min="111" max="111" width="13.42578125" style="2" bestFit="1" customWidth="1"/>
    <col min="112" max="16384" width="9.140625" style="2"/>
  </cols>
  <sheetData>
    <row r="1" spans="1:111" customFormat="1" x14ac:dyDescent="0.2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11" customFormat="1" x14ac:dyDescent="0.2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11" customFormat="1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11" customFormat="1" x14ac:dyDescent="0.2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11" customFormat="1" x14ac:dyDescent="0.2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11" customFormat="1" x14ac:dyDescent="0.2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11" customFormat="1" x14ac:dyDescent="0.2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11" customFormat="1" ht="13.5" thickBot="1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9"/>
      <c r="L8" s="9"/>
      <c r="M8" s="9"/>
      <c r="N8" s="9"/>
      <c r="O8" s="9"/>
      <c r="P8" s="9"/>
      <c r="Q8" s="9"/>
      <c r="R8" s="9"/>
      <c r="S8" s="9"/>
      <c r="T8" s="8"/>
      <c r="U8" s="8"/>
      <c r="V8" s="8"/>
      <c r="W8" s="8"/>
      <c r="X8" s="8"/>
      <c r="Y8" s="8"/>
      <c r="Z8" s="8"/>
      <c r="AA8" s="8"/>
      <c r="AB8" s="8"/>
      <c r="AC8" s="8"/>
      <c r="AD8" s="8"/>
    </row>
    <row r="9" spans="1:111" ht="15.75" thickBot="1" x14ac:dyDescent="0.3">
      <c r="A9" s="10"/>
      <c r="B9" s="121" t="s">
        <v>41</v>
      </c>
      <c r="C9" s="122"/>
      <c r="D9" s="10"/>
      <c r="G9" s="128" t="s">
        <v>45</v>
      </c>
      <c r="H9" s="129"/>
      <c r="I9" s="10"/>
      <c r="J9" s="10"/>
      <c r="K9" s="11"/>
      <c r="L9" s="11"/>
      <c r="M9" s="11"/>
      <c r="N9" s="11"/>
      <c r="O9" s="11"/>
      <c r="P9" s="12"/>
      <c r="Q9" s="12"/>
      <c r="R9" s="12"/>
      <c r="S9" s="12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</row>
    <row r="10" spans="1:111" ht="15.75" thickBot="1" x14ac:dyDescent="0.3">
      <c r="A10" s="10"/>
      <c r="B10" s="55" t="s">
        <v>20</v>
      </c>
      <c r="C10" s="91">
        <v>0.4</v>
      </c>
      <c r="D10" s="43"/>
      <c r="E10" s="85"/>
      <c r="F10" s="87" t="s">
        <v>44</v>
      </c>
      <c r="G10" s="87" t="s">
        <v>47</v>
      </c>
      <c r="H10" s="86" t="s">
        <v>46</v>
      </c>
      <c r="I10" s="43"/>
      <c r="J10" s="43"/>
      <c r="K10" s="16"/>
      <c r="L10" s="44"/>
      <c r="M10" s="44"/>
      <c r="N10" s="44"/>
      <c r="O10" s="44"/>
      <c r="P10" s="44"/>
      <c r="Q10" s="44"/>
      <c r="R10" s="44"/>
      <c r="S10" s="44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</row>
    <row r="11" spans="1:111" ht="15" x14ac:dyDescent="0.25">
      <c r="A11" s="10"/>
      <c r="B11" s="55" t="s">
        <v>28</v>
      </c>
      <c r="C11" s="92">
        <v>250</v>
      </c>
      <c r="D11" s="81"/>
      <c r="E11" s="83">
        <v>0</v>
      </c>
      <c r="F11" s="112">
        <f t="shared" ref="F11" si="0">CubicSpline($B$34:$B$38,$C$11:$C$15,E11)</f>
        <v>169.80633783340454</v>
      </c>
      <c r="G11" s="113"/>
      <c r="H11" s="114"/>
      <c r="I11" s="81"/>
      <c r="J11" s="45"/>
      <c r="K11" s="16"/>
      <c r="L11" s="44"/>
      <c r="M11" s="23"/>
      <c r="N11" s="23"/>
      <c r="O11" s="23"/>
      <c r="P11" s="23"/>
      <c r="Q11" s="23"/>
      <c r="R11" s="23"/>
      <c r="S11" s="23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</row>
    <row r="12" spans="1:111" ht="15" x14ac:dyDescent="0.25">
      <c r="A12" s="10"/>
      <c r="B12" s="56" t="s">
        <v>30</v>
      </c>
      <c r="C12" s="93">
        <v>400</v>
      </c>
      <c r="D12" s="81"/>
      <c r="E12" s="83">
        <f>E11+0.05</f>
        <v>0.05</v>
      </c>
      <c r="F12" s="112">
        <f>CubicSpline($B$34:$B$38,$C$11:$C$15,E12)</f>
        <v>173.65566662234068</v>
      </c>
      <c r="G12" s="115">
        <f t="shared" ref="G12:G75" si="1">1-EXP(-E12*F12/(1-RecoveryRate)/10000)</f>
        <v>1.4460839666752268E-3</v>
      </c>
      <c r="H12" s="116">
        <f t="shared" ref="H12:H75" si="2">1-EXP(-E12*fiveyrspread/(1-RecoveryRate)/10000)</f>
        <v>4.1579981548900413E-3</v>
      </c>
      <c r="I12" s="81"/>
      <c r="J12" s="45"/>
      <c r="K12" s="16"/>
      <c r="L12" s="44"/>
      <c r="M12" s="26"/>
      <c r="N12" s="23"/>
      <c r="O12" s="23"/>
      <c r="P12" s="23"/>
      <c r="Q12" s="23"/>
      <c r="R12" s="23"/>
      <c r="S12" s="23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</row>
    <row r="13" spans="1:111" ht="15" x14ac:dyDescent="0.25">
      <c r="A13" s="10"/>
      <c r="B13" s="56" t="s">
        <v>32</v>
      </c>
      <c r="C13" s="93">
        <v>500</v>
      </c>
      <c r="D13" s="81"/>
      <c r="E13" s="83">
        <f>E12+0.05</f>
        <v>0.1</v>
      </c>
      <c r="F13" s="112">
        <f t="shared" ref="F13:F76" si="3">CubicSpline($B$34:$B$38,$C$11:$C$15,E13)</f>
        <v>177.52966530656815</v>
      </c>
      <c r="G13" s="115">
        <f t="shared" si="1"/>
        <v>2.9544547383316688E-3</v>
      </c>
      <c r="H13" s="116">
        <f t="shared" si="2"/>
        <v>8.2987073611240358E-3</v>
      </c>
      <c r="I13" s="81"/>
      <c r="J13" s="45"/>
      <c r="K13" s="16"/>
      <c r="L13" s="44"/>
      <c r="M13" s="26"/>
      <c r="N13" s="23"/>
      <c r="O13" s="23"/>
      <c r="P13" s="23"/>
      <c r="Q13" s="23"/>
      <c r="R13" s="23"/>
      <c r="S13" s="23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</row>
    <row r="14" spans="1:111" ht="15" x14ac:dyDescent="0.25">
      <c r="A14" s="10"/>
      <c r="B14" s="56" t="s">
        <v>42</v>
      </c>
      <c r="C14" s="93">
        <v>600</v>
      </c>
      <c r="D14" s="81"/>
      <c r="E14" s="83">
        <f>E13+0.05</f>
        <v>0.15000000000000002</v>
      </c>
      <c r="F14" s="112">
        <f t="shared" si="3"/>
        <v>181.42703547054529</v>
      </c>
      <c r="G14" s="115">
        <f t="shared" si="1"/>
        <v>4.5254052428601588E-3</v>
      </c>
      <c r="H14" s="116">
        <f t="shared" si="2"/>
        <v>1.2422199506118559E-2</v>
      </c>
      <c r="I14" s="81"/>
      <c r="J14" s="45"/>
      <c r="K14" s="16"/>
      <c r="L14" s="44"/>
      <c r="M14" s="26"/>
      <c r="N14" s="23"/>
      <c r="O14" s="23"/>
      <c r="P14" s="23"/>
      <c r="Q14" s="23"/>
      <c r="R14" s="23"/>
      <c r="S14" s="23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</row>
    <row r="15" spans="1:111" ht="15.75" thickBot="1" x14ac:dyDescent="0.3">
      <c r="A15" s="10"/>
      <c r="B15" s="60" t="s">
        <v>43</v>
      </c>
      <c r="C15" s="94">
        <v>700</v>
      </c>
      <c r="D15" s="81"/>
      <c r="E15" s="83">
        <f>E14+0.05</f>
        <v>0.2</v>
      </c>
      <c r="F15" s="112">
        <f t="shared" si="3"/>
        <v>185.34647869873046</v>
      </c>
      <c r="G15" s="115">
        <f t="shared" si="1"/>
        <v>6.1591700239019831E-3</v>
      </c>
      <c r="H15" s="116">
        <f t="shared" si="2"/>
        <v>1.6528546178382508E-2</v>
      </c>
      <c r="I15" s="81"/>
      <c r="J15" s="45"/>
      <c r="K15" s="16"/>
      <c r="L15" s="44"/>
      <c r="M15" s="26"/>
      <c r="N15" s="23"/>
      <c r="O15" s="23"/>
      <c r="P15" s="23"/>
      <c r="Q15" s="23"/>
      <c r="R15" s="23"/>
      <c r="S15" s="23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</row>
    <row r="16" spans="1:111" x14ac:dyDescent="0.2">
      <c r="A16" s="10"/>
      <c r="B16" s="43"/>
      <c r="C16" s="81"/>
      <c r="D16" s="81"/>
      <c r="E16" s="83">
        <f>E14+0.05</f>
        <v>0.2</v>
      </c>
      <c r="F16" s="112">
        <f t="shared" si="3"/>
        <v>185.34647869873046</v>
      </c>
      <c r="G16" s="115">
        <f t="shared" si="1"/>
        <v>6.1591700239019831E-3</v>
      </c>
      <c r="H16" s="116">
        <f t="shared" si="2"/>
        <v>1.6528546178382508E-2</v>
      </c>
      <c r="I16" s="81"/>
      <c r="J16" s="45"/>
      <c r="K16" s="16"/>
      <c r="L16" s="44"/>
      <c r="M16" s="26"/>
      <c r="N16" s="23"/>
      <c r="O16" s="23"/>
      <c r="P16" s="23"/>
      <c r="Q16" s="23"/>
      <c r="R16" s="23"/>
      <c r="S16" s="23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</row>
    <row r="17" spans="1:111" x14ac:dyDescent="0.2">
      <c r="A17" s="10"/>
      <c r="B17" s="43"/>
      <c r="C17" s="45"/>
      <c r="D17" s="45"/>
      <c r="E17" s="83">
        <f>E15+0.05</f>
        <v>0.25</v>
      </c>
      <c r="F17" s="112">
        <f t="shared" si="3"/>
        <v>189.28669657558203</v>
      </c>
      <c r="G17" s="115">
        <f t="shared" si="1"/>
        <v>7.8559253399973494E-3</v>
      </c>
      <c r="H17" s="116">
        <f t="shared" si="2"/>
        <v>2.0617818668759891E-2</v>
      </c>
      <c r="I17" s="45"/>
      <c r="J17" s="45"/>
      <c r="K17" s="16"/>
      <c r="L17" s="44"/>
      <c r="M17" s="26"/>
      <c r="N17" s="23"/>
      <c r="O17" s="23"/>
      <c r="P17" s="23"/>
      <c r="Q17" s="23"/>
      <c r="R17" s="23"/>
      <c r="S17" s="23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</row>
    <row r="18" spans="1:111" x14ac:dyDescent="0.2">
      <c r="A18" s="10"/>
      <c r="C18" s="45"/>
      <c r="D18" s="45"/>
      <c r="E18" s="83">
        <f>E16+0.05</f>
        <v>0.25</v>
      </c>
      <c r="F18" s="112">
        <f t="shared" si="3"/>
        <v>189.28669657558203</v>
      </c>
      <c r="G18" s="115">
        <f t="shared" si="1"/>
        <v>7.8559253399973494E-3</v>
      </c>
      <c r="H18" s="116">
        <f t="shared" si="2"/>
        <v>2.0617818668759891E-2</v>
      </c>
      <c r="I18" s="45"/>
      <c r="J18" s="10"/>
      <c r="K18" s="16"/>
      <c r="L18" s="44"/>
      <c r="M18" s="26"/>
      <c r="N18" s="23"/>
      <c r="O18" s="23"/>
      <c r="P18" s="23"/>
      <c r="Q18" s="23"/>
      <c r="R18" s="23"/>
      <c r="S18" s="23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</row>
    <row r="19" spans="1:111" x14ac:dyDescent="0.2">
      <c r="A19" s="10"/>
      <c r="C19" s="45"/>
      <c r="D19" s="45"/>
      <c r="E19" s="83">
        <f t="shared" ref="E19:E81" si="4">E18+0.05</f>
        <v>0.3</v>
      </c>
      <c r="F19" s="112">
        <f t="shared" si="3"/>
        <v>193.24639068555831</v>
      </c>
      <c r="G19" s="115">
        <f t="shared" si="1"/>
        <v>9.6157893087800428E-3</v>
      </c>
      <c r="H19" s="116">
        <f t="shared" si="2"/>
        <v>2.4690087971667385E-2</v>
      </c>
      <c r="I19" s="45"/>
      <c r="J19" s="43"/>
      <c r="K19" s="16"/>
      <c r="L19" s="44"/>
      <c r="M19" s="26"/>
      <c r="N19" s="23"/>
      <c r="O19" s="23"/>
      <c r="P19" s="23"/>
      <c r="Q19" s="23"/>
      <c r="R19" s="23"/>
      <c r="S19" s="23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</row>
    <row r="20" spans="1:111" x14ac:dyDescent="0.2">
      <c r="A20" s="10"/>
      <c r="C20" s="45"/>
      <c r="D20" s="45"/>
      <c r="E20" s="83">
        <f t="shared" si="4"/>
        <v>0.35</v>
      </c>
      <c r="F20" s="112">
        <f t="shared" si="3"/>
        <v>197.2242626131177</v>
      </c>
      <c r="G20" s="115">
        <f t="shared" si="1"/>
        <v>1.143882209667435E-2</v>
      </c>
      <c r="H20" s="116">
        <f t="shared" si="2"/>
        <v>2.8745424786327134E-2</v>
      </c>
      <c r="I20" s="45"/>
      <c r="J20" s="45"/>
      <c r="K20" s="16"/>
      <c r="L20" s="44"/>
      <c r="M20" s="26"/>
      <c r="N20" s="23"/>
      <c r="O20" s="23"/>
      <c r="P20" s="23"/>
      <c r="Q20" s="23"/>
      <c r="R20" s="23"/>
      <c r="S20" s="23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</row>
    <row r="21" spans="1:111" x14ac:dyDescent="0.2">
      <c r="A21" s="10"/>
      <c r="E21" s="83">
        <f t="shared" si="4"/>
        <v>0.39999999999999997</v>
      </c>
      <c r="F21" s="112">
        <f t="shared" si="3"/>
        <v>201.2190139427185</v>
      </c>
      <c r="G21" s="115">
        <f t="shared" si="1"/>
        <v>1.3325026154438202E-2</v>
      </c>
      <c r="H21" s="116">
        <f t="shared" si="2"/>
        <v>3.2783899517994097E-2</v>
      </c>
      <c r="J21" s="45"/>
      <c r="K21" s="16"/>
      <c r="L21" s="35"/>
      <c r="M21" s="36"/>
      <c r="N21" s="36"/>
      <c r="O21" s="36"/>
      <c r="P21" s="36"/>
      <c r="Q21" s="36"/>
      <c r="R21" s="36"/>
      <c r="S21" s="36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</row>
    <row r="22" spans="1:111" x14ac:dyDescent="0.2">
      <c r="A22" s="10"/>
      <c r="E22" s="83">
        <f t="shared" si="4"/>
        <v>0.44999999999999996</v>
      </c>
      <c r="F22" s="112">
        <f t="shared" si="3"/>
        <v>205.22934625881911</v>
      </c>
      <c r="G22" s="115">
        <f t="shared" si="1"/>
        <v>1.5274346498785007E-2</v>
      </c>
      <c r="H22" s="116">
        <f t="shared" si="2"/>
        <v>3.6805582279178184E-2</v>
      </c>
      <c r="J22" s="45"/>
      <c r="K22" s="16"/>
      <c r="L22" s="35"/>
      <c r="M22" s="36"/>
      <c r="N22" s="36"/>
      <c r="O22" s="36"/>
      <c r="P22" s="36"/>
      <c r="Q22" s="36"/>
      <c r="R22" s="36"/>
      <c r="S22" s="36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</row>
    <row r="23" spans="1:111" x14ac:dyDescent="0.2">
      <c r="A23" s="10"/>
      <c r="E23" s="83">
        <f t="shared" si="4"/>
        <v>0.49999999999999994</v>
      </c>
      <c r="F23" s="112">
        <f t="shared" si="3"/>
        <v>209.25396114587784</v>
      </c>
      <c r="G23" s="115">
        <f t="shared" si="1"/>
        <v>1.7286671040206314E-2</v>
      </c>
      <c r="H23" s="116">
        <f t="shared" si="2"/>
        <v>4.0810542890861834E-2</v>
      </c>
      <c r="J23" s="45"/>
      <c r="K23" s="16"/>
      <c r="L23" s="35"/>
      <c r="M23" s="36"/>
      <c r="N23" s="36"/>
      <c r="O23" s="36"/>
      <c r="P23" s="36"/>
      <c r="Q23" s="36"/>
      <c r="R23" s="36"/>
      <c r="S23" s="36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</row>
    <row r="24" spans="1:111" x14ac:dyDescent="0.2">
      <c r="A24" s="10"/>
      <c r="B24" s="43"/>
      <c r="C24" s="45"/>
      <c r="D24" s="45"/>
      <c r="E24" s="83">
        <f t="shared" si="4"/>
        <v>0.54999999999999993</v>
      </c>
      <c r="F24" s="112">
        <f t="shared" si="3"/>
        <v>213.29156018835306</v>
      </c>
      <c r="G24" s="115">
        <f t="shared" si="1"/>
        <v>1.9361830957004389E-2</v>
      </c>
      <c r="H24" s="116">
        <f t="shared" si="2"/>
        <v>4.4798850883711605E-2</v>
      </c>
      <c r="I24" s="45"/>
      <c r="J24" s="45"/>
      <c r="K24" s="16"/>
      <c r="L24" s="36"/>
      <c r="M24" s="36"/>
      <c r="N24" s="36"/>
      <c r="O24" s="36"/>
      <c r="P24" s="36"/>
      <c r="Q24" s="36"/>
      <c r="R24" s="36"/>
      <c r="S24" s="36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</row>
    <row r="25" spans="1:111" x14ac:dyDescent="0.2">
      <c r="A25" s="10"/>
      <c r="B25" s="43"/>
      <c r="C25" s="45"/>
      <c r="D25" s="45"/>
      <c r="E25" s="83">
        <f t="shared" si="4"/>
        <v>0.6</v>
      </c>
      <c r="F25" s="112">
        <f t="shared" si="3"/>
        <v>217.34084497070313</v>
      </c>
      <c r="G25" s="115">
        <f t="shared" si="1"/>
        <v>2.149960111543503E-2</v>
      </c>
      <c r="H25" s="116">
        <f t="shared" si="2"/>
        <v>4.8770575499285984E-2</v>
      </c>
      <c r="I25" s="45"/>
      <c r="J25" s="45"/>
      <c r="K25" s="16"/>
      <c r="L25" s="36"/>
      <c r="M25" s="36"/>
      <c r="N25" s="36"/>
      <c r="O25" s="36"/>
      <c r="P25" s="36"/>
      <c r="Q25" s="36"/>
      <c r="R25" s="36"/>
      <c r="S25" s="36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</row>
    <row r="26" spans="1:111" x14ac:dyDescent="0.2">
      <c r="A26" s="10"/>
      <c r="B26" s="43"/>
      <c r="C26" s="45"/>
      <c r="D26" s="45"/>
      <c r="E26" s="83">
        <f t="shared" si="4"/>
        <v>0.65</v>
      </c>
      <c r="F26" s="112">
        <f t="shared" si="3"/>
        <v>221.40051707738638</v>
      </c>
      <c r="G26" s="115">
        <f t="shared" si="1"/>
        <v>2.3699700535750656E-2</v>
      </c>
      <c r="H26" s="116">
        <f t="shared" si="2"/>
        <v>5.2725785691237093E-2</v>
      </c>
      <c r="I26" s="45"/>
      <c r="J26" s="45"/>
      <c r="K26" s="16"/>
      <c r="L26" s="36"/>
      <c r="M26" s="36"/>
      <c r="N26" s="36"/>
      <c r="O26" s="36"/>
      <c r="P26" s="36"/>
      <c r="Q26" s="36"/>
      <c r="R26" s="36"/>
      <c r="S26" s="36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</row>
    <row r="27" spans="1:111" x14ac:dyDescent="0.2">
      <c r="A27" s="10"/>
      <c r="B27" s="38"/>
      <c r="C27" s="39"/>
      <c r="D27" s="39"/>
      <c r="E27" s="83">
        <f t="shared" si="4"/>
        <v>0.70000000000000007</v>
      </c>
      <c r="F27" s="112">
        <f t="shared" si="3"/>
        <v>225.46927809286117</v>
      </c>
      <c r="G27" s="115">
        <f t="shared" si="1"/>
        <v>2.596179290382461E-2</v>
      </c>
      <c r="H27" s="116">
        <f t="shared" si="2"/>
        <v>5.666455012650784E-2</v>
      </c>
      <c r="I27" s="40"/>
      <c r="J27" s="10"/>
      <c r="K27" s="16"/>
      <c r="L27" s="36"/>
      <c r="M27" s="36"/>
      <c r="N27" s="36"/>
      <c r="O27" s="36"/>
      <c r="P27" s="36"/>
      <c r="Q27" s="36"/>
      <c r="R27" s="36"/>
      <c r="S27" s="36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</row>
    <row r="28" spans="1:111" x14ac:dyDescent="0.2">
      <c r="A28" s="10"/>
      <c r="B28" s="43"/>
      <c r="C28" s="43"/>
      <c r="D28" s="43"/>
      <c r="E28" s="83">
        <f t="shared" si="4"/>
        <v>0.75000000000000011</v>
      </c>
      <c r="F28" s="112">
        <f t="shared" si="3"/>
        <v>229.54582960158589</v>
      </c>
      <c r="G28" s="115">
        <f t="shared" si="1"/>
        <v>2.8285487127930997E-2</v>
      </c>
      <c r="H28" s="116">
        <f t="shared" si="2"/>
        <v>6.0586937186524192E-2</v>
      </c>
      <c r="I28" s="43"/>
      <c r="J28" s="43"/>
      <c r="K28" s="16"/>
      <c r="L28" s="36"/>
      <c r="M28" s="36"/>
      <c r="N28" s="36"/>
      <c r="O28" s="36"/>
      <c r="P28" s="36"/>
      <c r="Q28" s="36"/>
      <c r="R28" s="36"/>
      <c r="S28" s="36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</row>
    <row r="29" spans="1:111" x14ac:dyDescent="0.2">
      <c r="A29" s="10"/>
      <c r="B29" s="43"/>
      <c r="C29" s="45"/>
      <c r="D29" s="45"/>
      <c r="E29" s="83">
        <f t="shared" si="4"/>
        <v>0.80000000000000016</v>
      </c>
      <c r="F29" s="112">
        <f t="shared" si="3"/>
        <v>233.62887318801882</v>
      </c>
      <c r="G29" s="115">
        <f t="shared" si="1"/>
        <v>3.0670337940147618E-2</v>
      </c>
      <c r="H29" s="116">
        <f t="shared" si="2"/>
        <v>6.4493014968382223E-2</v>
      </c>
      <c r="I29" s="45"/>
      <c r="J29" s="45"/>
      <c r="K29" s="16"/>
      <c r="L29" s="36"/>
      <c r="M29" s="36"/>
      <c r="N29" s="36"/>
      <c r="O29" s="36"/>
      <c r="P29" s="36"/>
      <c r="Q29" s="36"/>
      <c r="R29" s="36"/>
      <c r="S29" s="36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</row>
    <row r="30" spans="1:111" x14ac:dyDescent="0.2">
      <c r="A30" s="10"/>
      <c r="B30" s="43"/>
      <c r="C30" s="45"/>
      <c r="D30" s="45"/>
      <c r="E30" s="83">
        <f t="shared" si="4"/>
        <v>0.8500000000000002</v>
      </c>
      <c r="F30" s="112">
        <f t="shared" si="3"/>
        <v>237.71711043661836</v>
      </c>
      <c r="G30" s="115">
        <f t="shared" si="1"/>
        <v>3.3115846541746929E-2</v>
      </c>
      <c r="H30" s="116">
        <f t="shared" si="2"/>
        <v>6.8382851286030499E-2</v>
      </c>
      <c r="I30" s="45"/>
      <c r="J30" s="45"/>
      <c r="K30" s="16"/>
      <c r="L30" s="36"/>
      <c r="M30" s="36"/>
      <c r="N30" s="36"/>
      <c r="O30" s="36"/>
      <c r="P30" s="36"/>
      <c r="Q30" s="36"/>
      <c r="R30" s="36"/>
      <c r="S30" s="36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</row>
    <row r="31" spans="1:111" x14ac:dyDescent="0.2">
      <c r="A31" s="10"/>
      <c r="B31" s="43"/>
      <c r="C31" s="45"/>
      <c r="D31" s="45"/>
      <c r="E31" s="83">
        <f t="shared" si="4"/>
        <v>0.90000000000000024</v>
      </c>
      <c r="F31" s="112">
        <f t="shared" si="3"/>
        <v>241.80924293184287</v>
      </c>
      <c r="G31" s="115">
        <f t="shared" si="1"/>
        <v>3.5621461291835521E-2</v>
      </c>
      <c r="H31" s="116">
        <f t="shared" si="2"/>
        <v>7.2256513671447142E-2</v>
      </c>
      <c r="I31" s="45"/>
      <c r="J31" s="45"/>
      <c r="K31" s="16"/>
      <c r="L31" s="36"/>
      <c r="M31" s="36"/>
      <c r="N31" s="36"/>
      <c r="O31" s="36"/>
      <c r="P31" s="36"/>
      <c r="Q31" s="36"/>
      <c r="R31" s="36"/>
      <c r="S31" s="36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</row>
    <row r="32" spans="1:111" x14ac:dyDescent="0.2">
      <c r="A32" s="10"/>
      <c r="B32" s="43"/>
      <c r="C32" s="45"/>
      <c r="D32" s="45"/>
      <c r="E32" s="83">
        <f t="shared" si="4"/>
        <v>0.95000000000000029</v>
      </c>
      <c r="F32" s="112">
        <f t="shared" si="3"/>
        <v>245.90397225815065</v>
      </c>
      <c r="G32" s="115">
        <f t="shared" si="1"/>
        <v>3.8186578438405672E-2</v>
      </c>
      <c r="H32" s="116">
        <f t="shared" si="2"/>
        <v>7.6114069375812554E-2</v>
      </c>
      <c r="I32" s="45"/>
      <c r="J32" s="45"/>
      <c r="K32" s="16"/>
      <c r="L32" s="36"/>
      <c r="M32" s="36"/>
      <c r="N32" s="36"/>
      <c r="O32" s="36"/>
      <c r="P32" s="36"/>
      <c r="Q32" s="36"/>
      <c r="R32" s="36"/>
      <c r="S32" s="36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</row>
    <row r="33" spans="1:111" x14ac:dyDescent="0.2">
      <c r="A33" s="10"/>
      <c r="B33" s="43">
        <v>0</v>
      </c>
      <c r="C33" s="88">
        <f t="shared" ref="C33:C38" si="5">fiveyrspread</f>
        <v>500</v>
      </c>
      <c r="D33" s="45"/>
      <c r="E33" s="83">
        <f t="shared" si="4"/>
        <v>1.0000000000000002</v>
      </c>
      <c r="F33" s="112">
        <f t="shared" si="3"/>
        <v>250.00000000000006</v>
      </c>
      <c r="G33" s="115">
        <f t="shared" si="1"/>
        <v>4.0810542890861834E-2</v>
      </c>
      <c r="H33" s="116">
        <f t="shared" si="2"/>
        <v>7.9955585370676818E-2</v>
      </c>
      <c r="I33" s="45"/>
      <c r="J33" s="45"/>
      <c r="K33" s="16"/>
      <c r="L33" s="36"/>
      <c r="M33" s="36"/>
      <c r="N33" s="36"/>
      <c r="O33" s="36"/>
      <c r="P33" s="36"/>
      <c r="Q33" s="36"/>
      <c r="R33" s="36"/>
      <c r="S33" s="36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</row>
    <row r="34" spans="1:111" x14ac:dyDescent="0.2">
      <c r="A34" s="10"/>
      <c r="B34" s="43">
        <f>LEFT(B11,LEN(B11)-1)*1</f>
        <v>1</v>
      </c>
      <c r="C34" s="88">
        <f t="shared" si="5"/>
        <v>500</v>
      </c>
      <c r="D34" s="45"/>
      <c r="E34" s="83">
        <f t="shared" si="4"/>
        <v>1.0500000000000003</v>
      </c>
      <c r="F34" s="112">
        <f t="shared" si="3"/>
        <v>254.09602774184947</v>
      </c>
      <c r="G34" s="115">
        <f t="shared" si="1"/>
        <v>4.3492649032991992E-2</v>
      </c>
      <c r="H34" s="116">
        <f t="shared" si="2"/>
        <v>8.3781128349122436E-2</v>
      </c>
      <c r="I34" s="45"/>
      <c r="J34" s="45"/>
      <c r="K34" s="16"/>
      <c r="L34" s="36"/>
      <c r="M34" s="36"/>
      <c r="N34" s="36"/>
      <c r="O34" s="36"/>
      <c r="P34" s="36"/>
      <c r="Q34" s="36"/>
      <c r="R34" s="36"/>
      <c r="S34" s="36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</row>
    <row r="35" spans="1:111" x14ac:dyDescent="0.2">
      <c r="A35" s="10"/>
      <c r="B35" s="43">
        <f>LEFT(B12,LEN(B12)-1)*1</f>
        <v>3</v>
      </c>
      <c r="C35" s="88">
        <f t="shared" si="5"/>
        <v>500</v>
      </c>
      <c r="D35" s="45"/>
      <c r="E35" s="83">
        <f t="shared" si="4"/>
        <v>1.1000000000000003</v>
      </c>
      <c r="F35" s="112">
        <f t="shared" si="3"/>
        <v>258.19075706815727</v>
      </c>
      <c r="G35" s="115">
        <f t="shared" si="1"/>
        <v>4.6232141575261343E-2</v>
      </c>
      <c r="H35" s="116">
        <f t="shared" si="2"/>
        <v>8.7590764726922177E-2</v>
      </c>
      <c r="I35" s="45"/>
      <c r="J35" s="45"/>
      <c r="K35" s="16"/>
      <c r="L35" s="36"/>
      <c r="M35" s="36"/>
      <c r="N35" s="36"/>
      <c r="O35" s="36"/>
      <c r="P35" s="36"/>
      <c r="Q35" s="36"/>
      <c r="R35" s="36"/>
      <c r="S35" s="36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</row>
    <row r="36" spans="1:111" x14ac:dyDescent="0.2">
      <c r="A36" s="10"/>
      <c r="B36" s="43">
        <f>LEFT(B13,LEN(B13)-1)*1</f>
        <v>5</v>
      </c>
      <c r="C36" s="88">
        <f t="shared" si="5"/>
        <v>500</v>
      </c>
      <c r="D36" s="39"/>
      <c r="E36" s="83">
        <f t="shared" si="4"/>
        <v>1.1500000000000004</v>
      </c>
      <c r="F36" s="112">
        <f t="shared" si="3"/>
        <v>262.28288956338173</v>
      </c>
      <c r="G36" s="115">
        <f t="shared" si="1"/>
        <v>4.9028216445215933E-2</v>
      </c>
      <c r="H36" s="116">
        <f t="shared" si="2"/>
        <v>9.138456064369227E-2</v>
      </c>
      <c r="I36" s="40"/>
      <c r="J36" s="10"/>
      <c r="K36" s="16"/>
      <c r="L36" s="36"/>
      <c r="M36" s="36"/>
      <c r="N36" s="36"/>
      <c r="O36" s="36"/>
      <c r="P36" s="36"/>
      <c r="Q36" s="36"/>
      <c r="R36" s="36"/>
      <c r="S36" s="36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</row>
    <row r="37" spans="1:111" x14ac:dyDescent="0.2">
      <c r="A37" s="10"/>
      <c r="B37" s="43">
        <f>LEFT(B14,LEN(B14)-1)*1</f>
        <v>7</v>
      </c>
      <c r="C37" s="88">
        <f t="shared" si="5"/>
        <v>500</v>
      </c>
      <c r="D37" s="43"/>
      <c r="E37" s="83">
        <f t="shared" si="4"/>
        <v>1.2000000000000004</v>
      </c>
      <c r="F37" s="112">
        <f t="shared" si="3"/>
        <v>266.37112681198124</v>
      </c>
      <c r="G37" s="115">
        <f t="shared" si="1"/>
        <v>5.1880021714698632E-2</v>
      </c>
      <c r="H37" s="116">
        <f t="shared" si="2"/>
        <v>9.5162581964040482E-2</v>
      </c>
      <c r="I37" s="43"/>
      <c r="J37" s="43"/>
      <c r="K37" s="16"/>
      <c r="L37" s="36"/>
      <c r="M37" s="36"/>
      <c r="N37" s="36"/>
      <c r="O37" s="36"/>
      <c r="P37" s="36"/>
      <c r="Q37" s="36"/>
      <c r="R37" s="36"/>
      <c r="S37" s="36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</row>
    <row r="38" spans="1:111" x14ac:dyDescent="0.2">
      <c r="A38" s="10"/>
      <c r="B38" s="43">
        <f>LEFT(B15,LEN(B15)-1)*1</f>
        <v>10</v>
      </c>
      <c r="C38" s="88">
        <f t="shared" si="5"/>
        <v>500</v>
      </c>
      <c r="D38" s="45"/>
      <c r="E38" s="83">
        <f t="shared" si="4"/>
        <v>1.2500000000000004</v>
      </c>
      <c r="F38" s="112">
        <f t="shared" si="3"/>
        <v>270.45417039841425</v>
      </c>
      <c r="G38" s="115">
        <f t="shared" si="1"/>
        <v>5.4786658562496537E-2</v>
      </c>
      <c r="H38" s="116">
        <f t="shared" si="2"/>
        <v>9.892489427870943E-2</v>
      </c>
      <c r="I38" s="45"/>
      <c r="J38" s="45"/>
      <c r="K38" s="16"/>
      <c r="L38" s="36"/>
      <c r="M38" s="36"/>
      <c r="N38" s="36"/>
      <c r="O38" s="36"/>
      <c r="P38" s="36"/>
      <c r="Q38" s="36"/>
      <c r="R38" s="36"/>
      <c r="S38" s="36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</row>
    <row r="39" spans="1:111" x14ac:dyDescent="0.2">
      <c r="A39" s="10"/>
      <c r="B39" s="43"/>
      <c r="C39" s="45"/>
      <c r="D39" s="45"/>
      <c r="E39" s="83">
        <f t="shared" si="4"/>
        <v>1.3000000000000005</v>
      </c>
      <c r="F39" s="112">
        <f t="shared" si="3"/>
        <v>274.53072190713897</v>
      </c>
      <c r="G39" s="115">
        <f t="shared" si="1"/>
        <v>5.7747182270960096E-2</v>
      </c>
      <c r="H39" s="116">
        <f t="shared" si="2"/>
        <v>0.102671562905716</v>
      </c>
      <c r="I39" s="45"/>
      <c r="J39" s="45"/>
      <c r="K39" s="16"/>
      <c r="L39" s="36"/>
      <c r="M39" s="36"/>
      <c r="N39" s="36"/>
      <c r="O39" s="36"/>
      <c r="P39" s="36"/>
      <c r="Q39" s="36"/>
      <c r="R39" s="36"/>
      <c r="S39" s="36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</row>
    <row r="40" spans="1:111" x14ac:dyDescent="0.2">
      <c r="A40" s="10"/>
      <c r="B40" s="43"/>
      <c r="C40" s="45"/>
      <c r="D40" s="45"/>
      <c r="E40" s="83">
        <f t="shared" si="4"/>
        <v>1.3500000000000005</v>
      </c>
      <c r="F40" s="112">
        <f t="shared" si="3"/>
        <v>278.59948292261373</v>
      </c>
      <c r="G40" s="115">
        <f t="shared" si="1"/>
        <v>6.0760603255059609E-2</v>
      </c>
      <c r="H40" s="116">
        <f t="shared" si="2"/>
        <v>0.10640265289148432</v>
      </c>
      <c r="I40" s="45"/>
      <c r="J40" s="45"/>
      <c r="K40" s="16"/>
      <c r="L40" s="36"/>
      <c r="M40" s="36"/>
      <c r="N40" s="36"/>
      <c r="O40" s="36"/>
      <c r="P40" s="36"/>
      <c r="Q40" s="36"/>
      <c r="R40" s="36"/>
      <c r="S40" s="36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</row>
    <row r="41" spans="1:111" x14ac:dyDescent="0.2">
      <c r="A41" s="10"/>
      <c r="B41" s="43"/>
      <c r="C41" s="45"/>
      <c r="D41" s="45"/>
      <c r="E41" s="83">
        <f t="shared" si="4"/>
        <v>1.4000000000000006</v>
      </c>
      <c r="F41" s="112">
        <f t="shared" si="3"/>
        <v>282.65915502929698</v>
      </c>
      <c r="G41" s="115">
        <f t="shared" si="1"/>
        <v>6.3825888122270968E-2</v>
      </c>
      <c r="H41" s="116">
        <f t="shared" si="2"/>
        <v>0.11011822901197621</v>
      </c>
      <c r="I41" s="45"/>
      <c r="J41" s="45"/>
      <c r="K41" s="16"/>
      <c r="L41" s="36"/>
      <c r="M41" s="36"/>
      <c r="N41" s="36"/>
      <c r="O41" s="36"/>
      <c r="P41" s="36"/>
      <c r="Q41" s="36"/>
      <c r="R41" s="36"/>
      <c r="S41" s="36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</row>
    <row r="42" spans="1:111" x14ac:dyDescent="0.2">
      <c r="A42" s="10"/>
      <c r="B42" s="43"/>
      <c r="C42" s="45"/>
      <c r="D42" s="45"/>
      <c r="E42" s="83">
        <f t="shared" si="4"/>
        <v>1.4500000000000006</v>
      </c>
      <c r="F42" s="112">
        <f t="shared" si="3"/>
        <v>286.70843981164705</v>
      </c>
      <c r="G42" s="115">
        <f t="shared" si="1"/>
        <v>6.6941960761617181E-2</v>
      </c>
      <c r="H42" s="116">
        <f t="shared" si="2"/>
        <v>0.11381835577381472</v>
      </c>
      <c r="I42" s="45"/>
      <c r="J42" s="45"/>
      <c r="K42" s="16"/>
      <c r="L42" s="36"/>
      <c r="M42" s="36"/>
      <c r="N42" s="36"/>
      <c r="O42" s="36"/>
      <c r="P42" s="36"/>
      <c r="Q42" s="36"/>
      <c r="R42" s="36"/>
      <c r="S42" s="36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</row>
    <row r="43" spans="1:111" x14ac:dyDescent="0.2">
      <c r="A43" s="10"/>
      <c r="B43" s="43"/>
      <c r="C43" s="45"/>
      <c r="D43" s="45"/>
      <c r="E43" s="83">
        <f t="shared" si="4"/>
        <v>1.5000000000000007</v>
      </c>
      <c r="F43" s="112">
        <f t="shared" si="3"/>
        <v>290.74603885412228</v>
      </c>
      <c r="G43" s="115">
        <f t="shared" si="1"/>
        <v>7.0107703460126847E-2</v>
      </c>
      <c r="H43" s="116">
        <f t="shared" si="2"/>
        <v>0.11750309741540466</v>
      </c>
      <c r="I43" s="45"/>
      <c r="J43" s="45"/>
      <c r="K43" s="16"/>
      <c r="L43" s="36"/>
      <c r="M43" s="36"/>
      <c r="N43" s="36"/>
      <c r="O43" s="36"/>
      <c r="P43" s="36"/>
      <c r="Q43" s="36"/>
      <c r="R43" s="36"/>
      <c r="S43" s="36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</row>
    <row r="44" spans="1:111" x14ac:dyDescent="0.2">
      <c r="A44" s="10"/>
      <c r="B44" s="43"/>
      <c r="C44" s="45"/>
      <c r="D44" s="45"/>
      <c r="E44" s="83">
        <f t="shared" si="4"/>
        <v>1.5500000000000007</v>
      </c>
      <c r="F44" s="112">
        <f t="shared" si="3"/>
        <v>294.77065374118104</v>
      </c>
      <c r="G44" s="115">
        <f t="shared" si="1"/>
        <v>7.3321958044912039E-2</v>
      </c>
      <c r="H44" s="116">
        <f t="shared" si="2"/>
        <v>0.12117251790804762</v>
      </c>
      <c r="I44" s="45"/>
      <c r="J44" s="45"/>
      <c r="K44" s="16"/>
      <c r="L44" s="36"/>
      <c r="M44" s="36"/>
      <c r="N44" s="36"/>
      <c r="O44" s="36"/>
      <c r="P44" s="36"/>
      <c r="Q44" s="36"/>
      <c r="R44" s="36"/>
      <c r="S44" s="36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</row>
    <row r="45" spans="1:111" x14ac:dyDescent="0.2">
      <c r="A45" s="10"/>
      <c r="B45" s="38"/>
      <c r="C45" s="39"/>
      <c r="D45" s="39"/>
      <c r="E45" s="83">
        <f t="shared" si="4"/>
        <v>1.6000000000000008</v>
      </c>
      <c r="F45" s="112">
        <f t="shared" si="3"/>
        <v>298.78098605728167</v>
      </c>
      <c r="G45" s="115">
        <f t="shared" si="1"/>
        <v>7.6583527049012501E-2</v>
      </c>
      <c r="H45" s="116">
        <f t="shared" si="2"/>
        <v>0.12482668095705263</v>
      </c>
      <c r="I45" s="40"/>
      <c r="J45" s="10"/>
      <c r="K45" s="16"/>
      <c r="L45" s="36"/>
      <c r="M45" s="36"/>
      <c r="N45" s="36"/>
      <c r="O45" s="36"/>
      <c r="P45" s="36"/>
      <c r="Q45" s="36"/>
      <c r="R45" s="36"/>
      <c r="S45" s="36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</row>
    <row r="46" spans="1:111" x14ac:dyDescent="0.2">
      <c r="A46" s="10"/>
      <c r="B46" s="43"/>
      <c r="C46" s="43"/>
      <c r="D46" s="43"/>
      <c r="E46" s="83">
        <f t="shared" si="4"/>
        <v>1.6500000000000008</v>
      </c>
      <c r="F46" s="112">
        <f t="shared" si="3"/>
        <v>302.7757373868825</v>
      </c>
      <c r="G46" s="115">
        <f t="shared" si="1"/>
        <v>7.9891174899101802E-2</v>
      </c>
      <c r="H46" s="116">
        <f t="shared" si="2"/>
        <v>0.12846565000284216</v>
      </c>
      <c r="I46" s="43"/>
      <c r="J46" s="43"/>
      <c r="K46" s="16"/>
      <c r="L46" s="36"/>
      <c r="M46" s="36"/>
      <c r="N46" s="36"/>
      <c r="O46" s="36"/>
      <c r="P46" s="36"/>
      <c r="Q46" s="36"/>
      <c r="R46" s="36"/>
      <c r="S46" s="36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</row>
    <row r="47" spans="1:111" x14ac:dyDescent="0.2">
      <c r="A47" s="10"/>
      <c r="B47" s="43"/>
      <c r="C47" s="45"/>
      <c r="D47" s="45"/>
      <c r="E47" s="83">
        <f t="shared" si="4"/>
        <v>1.7000000000000008</v>
      </c>
      <c r="F47" s="112">
        <f t="shared" si="3"/>
        <v>306.75360931444186</v>
      </c>
      <c r="G47" s="115">
        <f t="shared" si="1"/>
        <v>8.3243629123104901E-2</v>
      </c>
      <c r="H47" s="116">
        <f t="shared" si="2"/>
        <v>0.13208948822205369</v>
      </c>
      <c r="I47" s="45"/>
      <c r="J47" s="45"/>
      <c r="K47" s="16"/>
      <c r="L47" s="36"/>
      <c r="M47" s="36"/>
      <c r="N47" s="36"/>
      <c r="O47" s="36"/>
      <c r="P47" s="36"/>
      <c r="Q47" s="36"/>
      <c r="R47" s="36"/>
      <c r="S47" s="36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</row>
    <row r="48" spans="1:111" x14ac:dyDescent="0.2">
      <c r="A48" s="10"/>
      <c r="B48" s="43"/>
      <c r="C48" s="45"/>
      <c r="D48" s="45"/>
      <c r="E48" s="83">
        <f t="shared" si="4"/>
        <v>1.7500000000000009</v>
      </c>
      <c r="F48" s="112">
        <f t="shared" si="3"/>
        <v>310.71330342441814</v>
      </c>
      <c r="G48" s="115">
        <f t="shared" si="1"/>
        <v>8.6639581575735036E-2</v>
      </c>
      <c r="H48" s="116">
        <f t="shared" si="2"/>
        <v>0.13569825852863604</v>
      </c>
      <c r="I48" s="45"/>
      <c r="J48" s="45"/>
      <c r="K48" s="16"/>
      <c r="L48" s="36"/>
      <c r="M48" s="36"/>
      <c r="N48" s="36"/>
      <c r="O48" s="36"/>
      <c r="P48" s="36"/>
      <c r="Q48" s="36"/>
      <c r="R48" s="36"/>
      <c r="S48" s="36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</row>
    <row r="49" spans="1:111" x14ac:dyDescent="0.2">
      <c r="A49" s="10"/>
      <c r="B49" s="43"/>
      <c r="C49" s="45"/>
      <c r="D49" s="45"/>
      <c r="E49" s="83">
        <f t="shared" si="4"/>
        <v>1.8000000000000009</v>
      </c>
      <c r="F49" s="112">
        <f t="shared" si="3"/>
        <v>314.65352130126973</v>
      </c>
      <c r="G49" s="115">
        <f t="shared" si="1"/>
        <v>9.0077689679917139E-2</v>
      </c>
      <c r="H49" s="116">
        <f t="shared" si="2"/>
        <v>0.1392920235749423</v>
      </c>
      <c r="I49" s="45"/>
      <c r="J49" s="45"/>
      <c r="K49" s="16"/>
      <c r="L49" s="36"/>
      <c r="M49" s="36"/>
      <c r="N49" s="36"/>
      <c r="O49" s="36"/>
      <c r="P49" s="36"/>
      <c r="Q49" s="36"/>
      <c r="R49" s="36"/>
      <c r="S49" s="36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</row>
    <row r="50" spans="1:111" x14ac:dyDescent="0.2">
      <c r="A50" s="10"/>
      <c r="B50" s="43"/>
      <c r="C50" s="45"/>
      <c r="D50" s="45"/>
      <c r="E50" s="83">
        <f t="shared" si="4"/>
        <v>1.850000000000001</v>
      </c>
      <c r="F50" s="112">
        <f t="shared" si="3"/>
        <v>318.57296452945496</v>
      </c>
      <c r="G50" s="115">
        <f t="shared" si="1"/>
        <v>9.3556577682035513E-2</v>
      </c>
      <c r="H50" s="116">
        <f t="shared" si="2"/>
        <v>0.14287084575281683</v>
      </c>
      <c r="I50" s="45"/>
      <c r="J50" s="45"/>
      <c r="K50" s="16"/>
      <c r="L50" s="36"/>
      <c r="M50" s="36"/>
      <c r="N50" s="36"/>
      <c r="O50" s="36"/>
      <c r="P50" s="36"/>
      <c r="Q50" s="36"/>
      <c r="R50" s="36"/>
      <c r="S50" s="36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</row>
    <row r="51" spans="1:111" x14ac:dyDescent="0.2">
      <c r="A51" s="10"/>
      <c r="B51" s="43"/>
      <c r="C51" s="45"/>
      <c r="D51" s="45"/>
      <c r="E51" s="83">
        <f t="shared" si="4"/>
        <v>1.900000000000001</v>
      </c>
      <c r="F51" s="112">
        <f t="shared" si="3"/>
        <v>322.47033469343211</v>
      </c>
      <c r="G51" s="115">
        <f t="shared" si="1"/>
        <v>9.7074837918913137E-2</v>
      </c>
      <c r="H51" s="116">
        <f t="shared" si="2"/>
        <v>0.14643478719467906</v>
      </c>
      <c r="I51" s="45"/>
      <c r="J51" s="45"/>
      <c r="K51" s="16"/>
      <c r="L51" s="36"/>
      <c r="M51" s="36"/>
      <c r="N51" s="36"/>
      <c r="O51" s="36"/>
      <c r="P51" s="36"/>
      <c r="Q51" s="36"/>
      <c r="R51" s="36"/>
      <c r="S51" s="36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</row>
    <row r="52" spans="1:111" x14ac:dyDescent="0.2">
      <c r="A52" s="10"/>
      <c r="B52" s="43"/>
      <c r="C52" s="45"/>
      <c r="D52" s="45"/>
      <c r="E52" s="83">
        <f t="shared" si="4"/>
        <v>1.9500000000000011</v>
      </c>
      <c r="F52" s="112">
        <f t="shared" si="3"/>
        <v>326.34433337765955</v>
      </c>
      <c r="G52" s="115">
        <f t="shared" si="1"/>
        <v>0.10063103209440294</v>
      </c>
      <c r="H52" s="116">
        <f t="shared" si="2"/>
        <v>0.14998390977460196</v>
      </c>
      <c r="I52" s="45"/>
      <c r="J52" s="45"/>
      <c r="K52" s="16"/>
      <c r="L52" s="36"/>
      <c r="M52" s="36"/>
      <c r="N52" s="36"/>
      <c r="O52" s="36"/>
      <c r="P52" s="36"/>
      <c r="Q52" s="36"/>
      <c r="R52" s="36"/>
      <c r="S52" s="36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</row>
    <row r="53" spans="1:111" x14ac:dyDescent="0.2">
      <c r="A53" s="10"/>
      <c r="B53" s="43"/>
      <c r="C53" s="45"/>
      <c r="D53" s="45"/>
      <c r="E53" s="83">
        <f t="shared" si="4"/>
        <v>2.0000000000000009</v>
      </c>
      <c r="F53" s="112">
        <f t="shared" si="3"/>
        <v>330.19366216659563</v>
      </c>
      <c r="G53" s="115">
        <f t="shared" si="1"/>
        <v>0.10422369256345754</v>
      </c>
      <c r="H53" s="116">
        <f t="shared" si="2"/>
        <v>0.15351827510938598</v>
      </c>
      <c r="I53" s="45"/>
      <c r="J53" s="45"/>
      <c r="K53" s="16"/>
      <c r="L53" s="36"/>
      <c r="M53" s="36"/>
      <c r="N53" s="36"/>
      <c r="O53" s="36"/>
      <c r="P53" s="36"/>
      <c r="Q53" s="36"/>
      <c r="R53" s="36"/>
      <c r="S53" s="36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</row>
    <row r="54" spans="1:111" x14ac:dyDescent="0.2">
      <c r="A54" s="10"/>
      <c r="B54" s="38"/>
      <c r="C54" s="39"/>
      <c r="D54" s="39"/>
      <c r="E54" s="83">
        <f t="shared" si="4"/>
        <v>2.0500000000000007</v>
      </c>
      <c r="F54" s="112">
        <f t="shared" si="3"/>
        <v>334.01702264469873</v>
      </c>
      <c r="G54" s="115">
        <f t="shared" si="1"/>
        <v>0.1078513236215205</v>
      </c>
      <c r="H54" s="116">
        <f t="shared" si="2"/>
        <v>0.15703794455962927</v>
      </c>
      <c r="I54" s="40"/>
      <c r="J54" s="10"/>
      <c r="K54" s="16"/>
      <c r="L54" s="36"/>
      <c r="M54" s="36"/>
      <c r="N54" s="36"/>
      <c r="O54" s="36"/>
      <c r="P54" s="36"/>
      <c r="Q54" s="36"/>
      <c r="R54" s="36"/>
      <c r="S54" s="36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</row>
    <row r="55" spans="1:111" x14ac:dyDescent="0.2">
      <c r="A55" s="10"/>
      <c r="B55" s="43"/>
      <c r="C55" s="43"/>
      <c r="D55" s="43"/>
      <c r="E55" s="83">
        <f t="shared" si="4"/>
        <v>2.1000000000000005</v>
      </c>
      <c r="F55" s="112">
        <f t="shared" si="3"/>
        <v>337.81311639642729</v>
      </c>
      <c r="G55" s="115">
        <f t="shared" si="1"/>
        <v>0.11151240279707886</v>
      </c>
      <c r="H55" s="116">
        <f t="shared" si="2"/>
        <v>0.16054297923079264</v>
      </c>
      <c r="I55" s="43"/>
      <c r="J55" s="43"/>
      <c r="K55" s="16"/>
      <c r="L55" s="36"/>
      <c r="M55" s="36"/>
      <c r="N55" s="36"/>
      <c r="O55" s="36"/>
      <c r="P55" s="36"/>
      <c r="Q55" s="36"/>
      <c r="R55" s="36"/>
      <c r="S55" s="36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</row>
    <row r="56" spans="1:111" x14ac:dyDescent="0.2">
      <c r="A56" s="10"/>
      <c r="B56" s="43"/>
      <c r="C56" s="45"/>
      <c r="D56" s="45"/>
      <c r="E56" s="83">
        <f t="shared" si="4"/>
        <v>2.1500000000000004</v>
      </c>
      <c r="F56" s="112">
        <f t="shared" si="3"/>
        <v>341.58064500623948</v>
      </c>
      <c r="G56" s="115">
        <f t="shared" si="1"/>
        <v>0.11520538214520248</v>
      </c>
      <c r="H56" s="116">
        <f t="shared" si="2"/>
        <v>0.16403343997426056</v>
      </c>
      <c r="I56" s="45"/>
      <c r="J56" s="45"/>
      <c r="K56" s="16"/>
      <c r="L56" s="36"/>
      <c r="M56" s="36"/>
      <c r="N56" s="36"/>
      <c r="O56" s="36"/>
      <c r="P56" s="36"/>
      <c r="Q56" s="36"/>
      <c r="R56" s="36"/>
      <c r="S56" s="36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</row>
    <row r="57" spans="1:111" x14ac:dyDescent="0.2">
      <c r="A57" s="10"/>
      <c r="B57" s="43"/>
      <c r="C57" s="45"/>
      <c r="D57" s="45"/>
      <c r="E57" s="83">
        <f t="shared" si="4"/>
        <v>2.2000000000000002</v>
      </c>
      <c r="F57" s="112">
        <f t="shared" si="3"/>
        <v>345.31831005859374</v>
      </c>
      <c r="G57" s="115">
        <f t="shared" si="1"/>
        <v>0.11892868953989999</v>
      </c>
      <c r="H57" s="116">
        <f t="shared" si="2"/>
        <v>0.16750938738839738</v>
      </c>
      <c r="I57" s="45"/>
      <c r="J57" s="45"/>
      <c r="K57" s="16"/>
      <c r="L57" s="36"/>
      <c r="M57" s="36"/>
      <c r="N57" s="36"/>
      <c r="O57" s="36"/>
      <c r="P57" s="36"/>
      <c r="Q57" s="36"/>
      <c r="R57" s="36"/>
      <c r="S57" s="36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</row>
    <row r="58" spans="1:111" x14ac:dyDescent="0.2">
      <c r="A58" s="10"/>
      <c r="B58" s="43"/>
      <c r="C58" s="45"/>
      <c r="D58" s="45"/>
      <c r="E58" s="83">
        <f t="shared" si="4"/>
        <v>2.25</v>
      </c>
      <c r="F58" s="112">
        <f t="shared" si="3"/>
        <v>349.02481313794851</v>
      </c>
      <c r="G58" s="115">
        <f t="shared" si="1"/>
        <v>0.1226807299631153</v>
      </c>
      <c r="H58" s="116">
        <f t="shared" si="2"/>
        <v>0.17097088181959963</v>
      </c>
      <c r="I58" s="45"/>
      <c r="J58" s="45"/>
      <c r="K58" s="16"/>
      <c r="L58" s="36"/>
      <c r="M58" s="36"/>
      <c r="N58" s="36"/>
      <c r="O58" s="36"/>
      <c r="P58" s="36"/>
      <c r="Q58" s="36"/>
      <c r="R58" s="36"/>
      <c r="S58" s="36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</row>
    <row r="59" spans="1:111" x14ac:dyDescent="0.2">
      <c r="A59" s="10"/>
      <c r="B59" s="43"/>
      <c r="C59" s="45"/>
      <c r="D59" s="45"/>
      <c r="E59" s="83">
        <f t="shared" si="4"/>
        <v>2.2999999999999998</v>
      </c>
      <c r="F59" s="112">
        <f t="shared" si="3"/>
        <v>352.69885582876202</v>
      </c>
      <c r="G59" s="115">
        <f t="shared" si="1"/>
        <v>0.1264598867881993</v>
      </c>
      <c r="H59" s="116">
        <f t="shared" si="2"/>
        <v>0.17441798336334391</v>
      </c>
      <c r="I59" s="45"/>
      <c r="J59" s="45"/>
      <c r="K59" s="16"/>
      <c r="L59" s="36"/>
      <c r="M59" s="36"/>
      <c r="N59" s="36"/>
      <c r="O59" s="36"/>
      <c r="P59" s="36"/>
      <c r="Q59" s="36"/>
      <c r="R59" s="36"/>
      <c r="S59" s="36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</row>
    <row r="60" spans="1:111" x14ac:dyDescent="0.2">
      <c r="A60" s="10"/>
      <c r="B60" s="43"/>
      <c r="C60" s="45"/>
      <c r="D60" s="45"/>
      <c r="E60" s="83">
        <f t="shared" si="4"/>
        <v>2.3499999999999996</v>
      </c>
      <c r="F60" s="112">
        <f t="shared" si="3"/>
        <v>356.33913971549265</v>
      </c>
      <c r="G60" s="115">
        <f t="shared" si="1"/>
        <v>0.13026452305569924</v>
      </c>
      <c r="H60" s="116">
        <f t="shared" si="2"/>
        <v>0.17785075186522947</v>
      </c>
      <c r="I60" s="45"/>
      <c r="J60" s="45"/>
      <c r="K60" s="16"/>
      <c r="L60" s="36"/>
      <c r="M60" s="36"/>
      <c r="N60" s="36"/>
      <c r="O60" s="36"/>
      <c r="P60" s="36"/>
      <c r="Q60" s="36"/>
      <c r="R60" s="36"/>
      <c r="S60" s="36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</row>
    <row r="61" spans="1:111" x14ac:dyDescent="0.2">
      <c r="A61" s="10"/>
      <c r="B61" s="43"/>
      <c r="C61" s="45"/>
      <c r="D61" s="45"/>
      <c r="E61" s="83">
        <f t="shared" si="4"/>
        <v>2.3999999999999995</v>
      </c>
      <c r="F61" s="112">
        <f t="shared" si="3"/>
        <v>359.94436638259879</v>
      </c>
      <c r="G61" s="115">
        <f t="shared" si="1"/>
        <v>0.13409298273931747</v>
      </c>
      <c r="H61" s="116">
        <f t="shared" si="2"/>
        <v>0.18126924692201818</v>
      </c>
      <c r="I61" s="45"/>
      <c r="J61" s="45"/>
      <c r="K61" s="16"/>
      <c r="L61" s="36"/>
      <c r="M61" s="36"/>
      <c r="N61" s="36"/>
      <c r="O61" s="36"/>
      <c r="P61" s="36"/>
      <c r="Q61" s="36"/>
      <c r="R61" s="36"/>
      <c r="S61" s="36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</row>
    <row r="62" spans="1:111" x14ac:dyDescent="0.2">
      <c r="A62" s="10"/>
      <c r="B62" s="43"/>
      <c r="C62" s="45"/>
      <c r="D62" s="45"/>
      <c r="E62" s="83">
        <f t="shared" si="4"/>
        <v>2.4499999999999993</v>
      </c>
      <c r="F62" s="112">
        <f t="shared" si="3"/>
        <v>363.51323741453876</v>
      </c>
      <c r="G62" s="115">
        <f t="shared" si="1"/>
        <v>0.13794359199991468</v>
      </c>
      <c r="H62" s="116">
        <f t="shared" si="2"/>
        <v>0.18467352788266811</v>
      </c>
      <c r="I62" s="45"/>
      <c r="J62" s="45"/>
      <c r="K62" s="16"/>
      <c r="L62" s="36"/>
      <c r="M62" s="36"/>
      <c r="N62" s="36"/>
      <c r="O62" s="36"/>
      <c r="P62" s="36"/>
      <c r="Q62" s="36"/>
      <c r="R62" s="36"/>
      <c r="S62" s="36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</row>
    <row r="63" spans="1:111" x14ac:dyDescent="0.2">
      <c r="A63" s="10"/>
      <c r="B63" s="38"/>
      <c r="C63" s="39"/>
      <c r="D63" s="39"/>
      <c r="E63" s="83">
        <f t="shared" si="4"/>
        <v>2.4999999999999991</v>
      </c>
      <c r="F63" s="112">
        <f t="shared" si="3"/>
        <v>367.04445439577086</v>
      </c>
      <c r="G63" s="115">
        <f t="shared" si="1"/>
        <v>0.14181466042544422</v>
      </c>
      <c r="H63" s="116">
        <f t="shared" si="2"/>
        <v>0.18806365384936496</v>
      </c>
      <c r="I63" s="40"/>
      <c r="J63" s="10"/>
      <c r="K63" s="16"/>
      <c r="L63" s="36"/>
      <c r="M63" s="36"/>
      <c r="N63" s="36"/>
      <c r="O63" s="36"/>
      <c r="P63" s="36"/>
      <c r="Q63" s="36"/>
      <c r="R63" s="36"/>
      <c r="S63" s="36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</row>
    <row r="64" spans="1:111" x14ac:dyDescent="0.2">
      <c r="A64" s="10"/>
      <c r="B64" s="43"/>
      <c r="C64" s="43"/>
      <c r="D64" s="43"/>
      <c r="E64" s="83">
        <f t="shared" si="4"/>
        <v>2.5499999999999989</v>
      </c>
      <c r="F64" s="112">
        <f t="shared" si="3"/>
        <v>370.53671891075351</v>
      </c>
      <c r="G64" s="115">
        <f t="shared" si="1"/>
        <v>0.14570448225473542</v>
      </c>
      <c r="H64" s="116">
        <f t="shared" si="2"/>
        <v>0.19143968367854747</v>
      </c>
      <c r="I64" s="43"/>
      <c r="J64" s="43"/>
      <c r="K64" s="16"/>
      <c r="L64" s="36"/>
      <c r="M64" s="36"/>
      <c r="N64" s="36"/>
      <c r="O64" s="36"/>
      <c r="P64" s="36"/>
      <c r="Q64" s="36"/>
      <c r="R64" s="36"/>
      <c r="S64" s="36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</row>
    <row r="65" spans="1:111" x14ac:dyDescent="0.2">
      <c r="A65" s="10"/>
      <c r="B65" s="43"/>
      <c r="C65" s="45"/>
      <c r="D65" s="45"/>
      <c r="E65" s="83">
        <f t="shared" si="4"/>
        <v>2.5999999999999988</v>
      </c>
      <c r="F65" s="112">
        <f t="shared" si="3"/>
        <v>373.9887325439451</v>
      </c>
      <c r="G65" s="115">
        <f t="shared" si="1"/>
        <v>0.14961133758306255</v>
      </c>
      <c r="H65" s="116">
        <f t="shared" si="2"/>
        <v>0.19480167598192932</v>
      </c>
      <c r="I65" s="45"/>
      <c r="J65" s="45"/>
      <c r="K65" s="16"/>
      <c r="L65" s="36"/>
      <c r="M65" s="36"/>
      <c r="N65" s="36"/>
      <c r="O65" s="36"/>
      <c r="P65" s="36"/>
      <c r="Q65" s="36"/>
      <c r="R65" s="36"/>
      <c r="S65" s="36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</row>
    <row r="66" spans="1:111" x14ac:dyDescent="0.2">
      <c r="A66" s="10"/>
      <c r="B66" s="43"/>
      <c r="C66" s="45"/>
      <c r="D66" s="45"/>
      <c r="E66" s="83">
        <f t="shared" si="4"/>
        <v>2.6499999999999986</v>
      </c>
      <c r="F66" s="112">
        <f t="shared" si="3"/>
        <v>377.39919687980387</v>
      </c>
      <c r="G66" s="115">
        <f t="shared" si="1"/>
        <v>0.15353349354747059</v>
      </c>
      <c r="H66" s="116">
        <f t="shared" si="2"/>
        <v>0.19814968912751707</v>
      </c>
      <c r="I66" s="45"/>
      <c r="J66" s="45"/>
      <c r="K66" s="16"/>
      <c r="L66" s="36"/>
      <c r="M66" s="36"/>
      <c r="N66" s="36"/>
      <c r="O66" s="36"/>
      <c r="P66" s="36"/>
      <c r="Q66" s="36"/>
      <c r="R66" s="36"/>
      <c r="S66" s="36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</row>
    <row r="67" spans="1:111" x14ac:dyDescent="0.2">
      <c r="A67" s="10"/>
      <c r="B67" s="43"/>
      <c r="C67" s="45"/>
      <c r="D67" s="45"/>
      <c r="E67" s="83">
        <f t="shared" si="4"/>
        <v>2.6999999999999984</v>
      </c>
      <c r="F67" s="112">
        <f t="shared" si="3"/>
        <v>380.76681350278824</v>
      </c>
      <c r="G67" s="115">
        <f t="shared" si="1"/>
        <v>0.15746920548985777</v>
      </c>
      <c r="H67" s="116">
        <f t="shared" si="2"/>
        <v>0.20148378124062283</v>
      </c>
      <c r="I67" s="45"/>
      <c r="J67" s="45"/>
      <c r="K67" s="16"/>
      <c r="L67" s="36"/>
      <c r="M67" s="36"/>
      <c r="N67" s="36"/>
      <c r="O67" s="36"/>
      <c r="P67" s="36"/>
      <c r="Q67" s="36"/>
      <c r="R67" s="36"/>
      <c r="S67" s="36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</row>
    <row r="68" spans="1:111" x14ac:dyDescent="0.2">
      <c r="A68" s="10"/>
      <c r="B68" s="43"/>
      <c r="C68" s="45"/>
      <c r="D68" s="45"/>
      <c r="E68" s="83">
        <f t="shared" si="4"/>
        <v>2.7499999999999982</v>
      </c>
      <c r="F68" s="112">
        <f t="shared" si="3"/>
        <v>384.09028399735655</v>
      </c>
      <c r="G68" s="115">
        <f t="shared" si="1"/>
        <v>0.16141671809584957</v>
      </c>
      <c r="H68" s="116">
        <f t="shared" si="2"/>
        <v>0.20480401020487415</v>
      </c>
      <c r="I68" s="45"/>
      <c r="J68" s="45"/>
      <c r="K68" s="16"/>
      <c r="L68" s="36"/>
      <c r="M68" s="36"/>
      <c r="N68" s="36"/>
      <c r="O68" s="36"/>
      <c r="P68" s="36"/>
      <c r="Q68" s="36"/>
      <c r="R68" s="36"/>
      <c r="S68" s="36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</row>
    <row r="69" spans="1:111" x14ac:dyDescent="0.2">
      <c r="A69" s="10"/>
      <c r="B69" s="43"/>
      <c r="C69" s="45"/>
      <c r="D69" s="45"/>
      <c r="E69" s="83">
        <f t="shared" si="4"/>
        <v>2.799999999999998</v>
      </c>
      <c r="F69" s="112">
        <f t="shared" si="3"/>
        <v>387.36830994796713</v>
      </c>
      <c r="G69" s="115">
        <f t="shared" si="1"/>
        <v>0.16537426650753573</v>
      </c>
      <c r="H69" s="116">
        <f t="shared" si="2"/>
        <v>0.20811043366321824</v>
      </c>
      <c r="I69" s="45"/>
      <c r="J69" s="45"/>
      <c r="K69" s="16"/>
      <c r="L69" s="36"/>
      <c r="M69" s="36"/>
      <c r="N69" s="36"/>
      <c r="O69" s="36"/>
      <c r="P69" s="36"/>
      <c r="Q69" s="36"/>
      <c r="R69" s="36"/>
      <c r="S69" s="36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</row>
    <row r="70" spans="1:111" x14ac:dyDescent="0.2">
      <c r="A70" s="10"/>
      <c r="B70" s="43"/>
      <c r="C70" s="45"/>
      <c r="D70" s="45"/>
      <c r="E70" s="83">
        <f t="shared" si="4"/>
        <v>2.8499999999999979</v>
      </c>
      <c r="F70" s="112">
        <f t="shared" si="3"/>
        <v>390.59959293907838</v>
      </c>
      <c r="G70" s="115">
        <f t="shared" si="1"/>
        <v>0.16934007740818025</v>
      </c>
      <c r="H70" s="116">
        <f t="shared" si="2"/>
        <v>0.21140310901892323</v>
      </c>
      <c r="I70" s="45"/>
      <c r="J70" s="45"/>
      <c r="K70" s="16"/>
      <c r="L70" s="36"/>
      <c r="M70" s="36"/>
      <c r="N70" s="36"/>
      <c r="O70" s="36"/>
      <c r="P70" s="36"/>
      <c r="Q70" s="36"/>
      <c r="R70" s="36"/>
      <c r="S70" s="36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</row>
    <row r="71" spans="1:111" x14ac:dyDescent="0.2">
      <c r="A71" s="10"/>
      <c r="B71" s="43"/>
      <c r="C71" s="45"/>
      <c r="D71" s="45"/>
      <c r="E71" s="83">
        <f t="shared" si="4"/>
        <v>2.8999999999999977</v>
      </c>
      <c r="F71" s="112">
        <f t="shared" si="3"/>
        <v>393.78283455514867</v>
      </c>
      <c r="G71" s="115">
        <f t="shared" si="1"/>
        <v>0.17331237007705269</v>
      </c>
      <c r="H71" s="116">
        <f t="shared" si="2"/>
        <v>0.21468209343657452</v>
      </c>
      <c r="I71" s="45"/>
      <c r="J71" s="45"/>
      <c r="K71" s="16"/>
      <c r="L71" s="36"/>
      <c r="M71" s="36"/>
      <c r="N71" s="36"/>
      <c r="O71" s="36"/>
      <c r="P71" s="36"/>
      <c r="Q71" s="36"/>
      <c r="R71" s="36"/>
      <c r="S71" s="36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</row>
    <row r="72" spans="1:111" x14ac:dyDescent="0.2">
      <c r="A72" s="10"/>
      <c r="B72" s="38"/>
      <c r="C72" s="39"/>
      <c r="D72" s="39"/>
      <c r="E72" s="83">
        <f t="shared" si="4"/>
        <v>2.9499999999999975</v>
      </c>
      <c r="F72" s="112">
        <f t="shared" si="3"/>
        <v>396.91673638063622</v>
      </c>
      <c r="G72" s="115">
        <f t="shared" si="1"/>
        <v>0.17728935741257523</v>
      </c>
      <c r="H72" s="116">
        <f t="shared" si="2"/>
        <v>0.21794744384306741</v>
      </c>
      <c r="I72" s="40"/>
      <c r="J72" s="10"/>
      <c r="K72" s="16"/>
      <c r="L72" s="36"/>
      <c r="M72" s="36"/>
      <c r="N72" s="36"/>
      <c r="O72" s="36"/>
      <c r="P72" s="36"/>
      <c r="Q72" s="36"/>
      <c r="R72" s="36"/>
      <c r="S72" s="36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</row>
    <row r="73" spans="1:111" x14ac:dyDescent="0.2">
      <c r="A73" s="10"/>
      <c r="B73" s="43"/>
      <c r="C73" s="43"/>
      <c r="D73" s="43"/>
      <c r="E73" s="83">
        <f t="shared" si="4"/>
        <v>2.9999999999999973</v>
      </c>
      <c r="F73" s="112">
        <f t="shared" si="3"/>
        <v>399.99999999999932</v>
      </c>
      <c r="G73" s="115">
        <f t="shared" si="1"/>
        <v>0.18126924692201773</v>
      </c>
      <c r="H73" s="116">
        <f t="shared" si="2"/>
        <v>0.22119921692859501</v>
      </c>
      <c r="I73" s="43"/>
      <c r="J73" s="43"/>
      <c r="K73" s="16"/>
      <c r="L73" s="36"/>
      <c r="M73" s="36"/>
      <c r="N73" s="36"/>
      <c r="O73" s="36"/>
      <c r="P73" s="36"/>
      <c r="Q73" s="36"/>
      <c r="R73" s="36"/>
      <c r="S73" s="36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</row>
    <row r="74" spans="1:111" x14ac:dyDescent="0.2">
      <c r="A74" s="10"/>
      <c r="B74" s="43"/>
      <c r="C74" s="45"/>
      <c r="D74" s="45"/>
      <c r="E74" s="83">
        <f t="shared" si="4"/>
        <v>3.0499999999999972</v>
      </c>
      <c r="F74" s="112">
        <f t="shared" si="3"/>
        <v>403.03184359939542</v>
      </c>
      <c r="G74" s="115">
        <f t="shared" si="1"/>
        <v>0.18525045563405751</v>
      </c>
      <c r="H74" s="116">
        <f t="shared" si="2"/>
        <v>0.22443746914763285</v>
      </c>
      <c r="I74" s="45"/>
      <c r="J74" s="45"/>
      <c r="K74" s="16"/>
      <c r="L74" s="36"/>
      <c r="M74" s="36"/>
      <c r="N74" s="36"/>
      <c r="O74" s="36"/>
      <c r="P74" s="36"/>
      <c r="Q74" s="36"/>
      <c r="R74" s="36"/>
      <c r="S74" s="36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</row>
    <row r="75" spans="1:111" x14ac:dyDescent="0.2">
      <c r="A75" s="10"/>
      <c r="B75" s="43"/>
      <c r="C75" s="45"/>
      <c r="D75" s="45"/>
      <c r="E75" s="83">
        <f t="shared" si="4"/>
        <v>3.099999999999997</v>
      </c>
      <c r="F75" s="112">
        <f t="shared" si="3"/>
        <v>406.01355665956038</v>
      </c>
      <c r="G75" s="115">
        <f t="shared" si="1"/>
        <v>0.18923227449740621</v>
      </c>
      <c r="H75" s="116">
        <f t="shared" si="2"/>
        <v>0.2276622567199188</v>
      </c>
      <c r="I75" s="45"/>
      <c r="J75" s="45"/>
      <c r="K75" s="16"/>
      <c r="L75" s="36"/>
      <c r="M75" s="36"/>
      <c r="N75" s="36"/>
      <c r="O75" s="36"/>
      <c r="P75" s="36"/>
      <c r="Q75" s="36"/>
      <c r="R75" s="36"/>
      <c r="S75" s="36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</row>
    <row r="76" spans="1:111" x14ac:dyDescent="0.2">
      <c r="A76" s="10"/>
      <c r="B76" s="43"/>
      <c r="C76" s="45"/>
      <c r="D76" s="45"/>
      <c r="E76" s="83">
        <f t="shared" si="4"/>
        <v>3.1499999999999968</v>
      </c>
      <c r="F76" s="112">
        <f t="shared" si="3"/>
        <v>408.94694081910347</v>
      </c>
      <c r="G76" s="115">
        <f t="shared" ref="G76:G139" si="6">1-EXP(-E76*F76/(1-RecoveryRate)/10000)</f>
        <v>0.19321425685938198</v>
      </c>
      <c r="H76" s="116">
        <f t="shared" ref="H76:H139" si="7">1-EXP(-E76*fiveyrspread/(1-RecoveryRate)/10000)</f>
        <v>0.23087363563142926</v>
      </c>
      <c r="I76" s="45"/>
      <c r="J76" s="45"/>
      <c r="K76" s="16"/>
      <c r="L76" s="36"/>
      <c r="M76" s="36"/>
      <c r="N76" s="36"/>
      <c r="O76" s="36"/>
      <c r="P76" s="36"/>
      <c r="Q76" s="36"/>
      <c r="R76" s="36"/>
      <c r="S76" s="36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</row>
    <row r="77" spans="1:111" x14ac:dyDescent="0.2">
      <c r="A77" s="10"/>
      <c r="B77" s="43"/>
      <c r="C77" s="45"/>
      <c r="D77" s="45"/>
      <c r="E77" s="83">
        <f t="shared" si="4"/>
        <v>3.1999999999999966</v>
      </c>
      <c r="F77" s="112">
        <f t="shared" ref="F77:F140" si="8">CubicSpline($B$34:$B$38,$C$11:$C$15,E77)</f>
        <v>411.83380336106131</v>
      </c>
      <c r="G77" s="115">
        <f t="shared" si="6"/>
        <v>0.19719601253543806</v>
      </c>
      <c r="H77" s="116">
        <f t="shared" si="7"/>
        <v>0.23407166163535109</v>
      </c>
      <c r="I77" s="45"/>
      <c r="J77" s="45"/>
      <c r="K77" s="16"/>
      <c r="L77" s="36"/>
      <c r="M77" s="36"/>
      <c r="N77" s="36"/>
      <c r="O77" s="36"/>
      <c r="P77" s="36"/>
      <c r="Q77" s="36"/>
      <c r="R77" s="36"/>
      <c r="S77" s="36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</row>
    <row r="78" spans="1:111" x14ac:dyDescent="0.2">
      <c r="A78" s="10"/>
      <c r="B78" s="43"/>
      <c r="C78" s="45"/>
      <c r="D78" s="45"/>
      <c r="E78" s="83">
        <f t="shared" si="4"/>
        <v>3.2499999999999964</v>
      </c>
      <c r="F78" s="112">
        <f t="shared" si="8"/>
        <v>414.67594638839273</v>
      </c>
      <c r="G78" s="115">
        <f t="shared" si="6"/>
        <v>0.20117720207170853</v>
      </c>
      <c r="H78" s="116">
        <f t="shared" si="7"/>
        <v>0.23725639025304934</v>
      </c>
      <c r="I78" s="45"/>
      <c r="J78" s="45"/>
      <c r="K78" s="16"/>
      <c r="L78" s="36"/>
      <c r="M78" s="36"/>
      <c r="N78" s="36"/>
      <c r="O78" s="36"/>
      <c r="P78" s="36"/>
      <c r="Q78" s="36"/>
      <c r="R78" s="36"/>
      <c r="S78" s="36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</row>
    <row r="79" spans="1:111" x14ac:dyDescent="0.2">
      <c r="A79" s="10"/>
      <c r="B79" s="43"/>
      <c r="C79" s="45"/>
      <c r="D79" s="45"/>
      <c r="E79" s="83">
        <f t="shared" si="4"/>
        <v>3.2999999999999963</v>
      </c>
      <c r="F79" s="112">
        <f t="shared" si="8"/>
        <v>417.47517576838396</v>
      </c>
      <c r="G79" s="115">
        <f t="shared" si="6"/>
        <v>0.20515753935284575</v>
      </c>
      <c r="H79" s="116">
        <f t="shared" si="7"/>
        <v>0.2404278767750313</v>
      </c>
      <c r="I79" s="45"/>
      <c r="J79" s="45"/>
      <c r="K79" s="16"/>
      <c r="L79" s="36"/>
      <c r="M79" s="36"/>
      <c r="N79" s="36"/>
      <c r="O79" s="36"/>
      <c r="P79" s="36"/>
      <c r="Q79" s="36"/>
      <c r="R79" s="36"/>
      <c r="S79" s="36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</row>
    <row r="80" spans="1:111" x14ac:dyDescent="0.2">
      <c r="A80" s="10"/>
      <c r="B80" s="43"/>
      <c r="C80" s="45"/>
      <c r="D80" s="45"/>
      <c r="E80" s="83">
        <f t="shared" si="4"/>
        <v>3.3499999999999961</v>
      </c>
      <c r="F80" s="112">
        <f t="shared" si="8"/>
        <v>420.23329693492821</v>
      </c>
      <c r="G80" s="115">
        <f t="shared" si="6"/>
        <v>0.20913678864763141</v>
      </c>
      <c r="H80" s="116">
        <f t="shared" si="7"/>
        <v>0.2435861762619066</v>
      </c>
      <c r="I80" s="45"/>
      <c r="J80" s="45"/>
      <c r="K80" s="16"/>
      <c r="L80" s="36"/>
      <c r="M80" s="36"/>
      <c r="N80" s="36"/>
      <c r="O80" s="36"/>
      <c r="P80" s="36"/>
      <c r="Q80" s="36"/>
      <c r="R80" s="36"/>
      <c r="S80" s="36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</row>
    <row r="81" spans="1:111" x14ac:dyDescent="0.2">
      <c r="A81" s="10"/>
      <c r="B81" s="38"/>
      <c r="C81" s="39"/>
      <c r="D81" s="39"/>
      <c r="E81" s="83">
        <f t="shared" si="4"/>
        <v>3.3999999999999959</v>
      </c>
      <c r="F81" s="112">
        <f t="shared" si="8"/>
        <v>422.95211264107382</v>
      </c>
      <c r="G81" s="115">
        <f t="shared" si="6"/>
        <v>0.21311476241142646</v>
      </c>
      <c r="H81" s="116">
        <f t="shared" si="7"/>
        <v>0.24673134354534298</v>
      </c>
      <c r="I81" s="40"/>
      <c r="J81" s="10"/>
      <c r="K81" s="16"/>
      <c r="L81" s="36"/>
      <c r="M81" s="36"/>
      <c r="N81" s="36"/>
      <c r="O81" s="36"/>
      <c r="P81" s="36"/>
      <c r="Q81" s="36"/>
      <c r="R81" s="36"/>
      <c r="S81" s="36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</row>
    <row r="82" spans="1:111" x14ac:dyDescent="0.2">
      <c r="A82" s="10"/>
      <c r="B82" s="43"/>
      <c r="C82" s="43"/>
      <c r="D82" s="43"/>
      <c r="E82" s="83">
        <f t="shared" ref="E82:E145" si="9">E81+0.05</f>
        <v>3.4499999999999957</v>
      </c>
      <c r="F82" s="112">
        <f t="shared" si="8"/>
        <v>425.63342908637486</v>
      </c>
      <c r="G82" s="115">
        <f t="shared" si="6"/>
        <v>0.21709132280220689</v>
      </c>
      <c r="H82" s="116">
        <f t="shared" si="7"/>
        <v>0.24986343322901794</v>
      </c>
      <c r="I82" s="43"/>
      <c r="J82" s="43"/>
      <c r="K82" s="16"/>
      <c r="L82" s="36"/>
      <c r="M82" s="36"/>
      <c r="N82" s="36"/>
      <c r="O82" s="36"/>
      <c r="P82" s="36"/>
      <c r="Q82" s="36"/>
      <c r="R82" s="36"/>
      <c r="S82" s="36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</row>
    <row r="83" spans="1:111" x14ac:dyDescent="0.2">
      <c r="A83" s="10"/>
      <c r="B83" s="43"/>
      <c r="C83" s="45"/>
      <c r="D83" s="45"/>
      <c r="E83" s="83">
        <f t="shared" si="9"/>
        <v>3.4999999999999956</v>
      </c>
      <c r="F83" s="112">
        <f t="shared" si="8"/>
        <v>428.27904942631608</v>
      </c>
      <c r="G83" s="115">
        <f t="shared" si="6"/>
        <v>0.22106637762156511</v>
      </c>
      <c r="H83" s="116">
        <f t="shared" si="7"/>
        <v>0.25298249968956721</v>
      </c>
      <c r="I83" s="45"/>
      <c r="J83" s="45"/>
      <c r="K83" s="16"/>
      <c r="L83" s="36"/>
      <c r="M83" s="36"/>
      <c r="N83" s="36"/>
      <c r="O83" s="36"/>
      <c r="P83" s="36"/>
      <c r="Q83" s="36"/>
      <c r="R83" s="36"/>
      <c r="S83" s="36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</row>
    <row r="84" spans="1:111" x14ac:dyDescent="0.2">
      <c r="A84" s="10"/>
      <c r="B84" s="43"/>
      <c r="C84" s="45"/>
      <c r="D84" s="45"/>
      <c r="E84" s="83">
        <f t="shared" si="9"/>
        <v>3.5499999999999954</v>
      </c>
      <c r="F84" s="112">
        <f t="shared" si="8"/>
        <v>430.89077899418157</v>
      </c>
      <c r="G84" s="115">
        <f t="shared" si="6"/>
        <v>0.22503988146279352</v>
      </c>
      <c r="H84" s="116">
        <f t="shared" si="7"/>
        <v>0.25608859707752862</v>
      </c>
      <c r="I84" s="45"/>
      <c r="J84" s="45"/>
      <c r="K84" s="16"/>
      <c r="L84" s="36"/>
      <c r="M84" s="36"/>
      <c r="N84" s="36"/>
      <c r="O84" s="36"/>
      <c r="P84" s="36"/>
      <c r="Q84" s="36"/>
      <c r="R84" s="36"/>
      <c r="S84" s="36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</row>
    <row r="85" spans="1:111" x14ac:dyDescent="0.2">
      <c r="A85" s="10"/>
      <c r="B85" s="43"/>
      <c r="C85" s="45"/>
      <c r="D85" s="45"/>
      <c r="E85" s="83">
        <f t="shared" si="9"/>
        <v>3.5999999999999952</v>
      </c>
      <c r="F85" s="112">
        <f t="shared" si="8"/>
        <v>433.47042275177586</v>
      </c>
      <c r="G85" s="115">
        <f t="shared" si="6"/>
        <v>0.22901183339625952</v>
      </c>
      <c r="H85" s="116">
        <f t="shared" si="7"/>
        <v>0.25918177931828179</v>
      </c>
      <c r="I85" s="45"/>
      <c r="J85" s="45"/>
      <c r="K85" s="16"/>
      <c r="L85" s="36"/>
      <c r="M85" s="36"/>
      <c r="N85" s="36"/>
      <c r="O85" s="36"/>
      <c r="P85" s="36"/>
      <c r="Q85" s="36"/>
      <c r="R85" s="36"/>
      <c r="S85" s="36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</row>
    <row r="86" spans="1:111" x14ac:dyDescent="0.2">
      <c r="A86" s="10"/>
      <c r="B86" s="43"/>
      <c r="C86" s="45"/>
      <c r="D86" s="45"/>
      <c r="E86" s="83">
        <f t="shared" si="9"/>
        <v>3.649999999999995</v>
      </c>
      <c r="F86" s="112">
        <f t="shared" si="8"/>
        <v>436.01978441180302</v>
      </c>
      <c r="G86" s="115">
        <f t="shared" si="6"/>
        <v>0.23298227537293359</v>
      </c>
      <c r="H86" s="116">
        <f t="shared" si="7"/>
        <v>0.26226210011298534</v>
      </c>
      <c r="I86" s="45"/>
      <c r="J86" s="45"/>
      <c r="K86" s="16"/>
      <c r="L86" s="36"/>
      <c r="M86" s="36"/>
      <c r="N86" s="36"/>
      <c r="O86" s="36"/>
      <c r="P86" s="36"/>
      <c r="Q86" s="36"/>
      <c r="R86" s="36"/>
      <c r="S86" s="36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</row>
    <row r="87" spans="1:111" x14ac:dyDescent="0.2">
      <c r="A87" s="10"/>
      <c r="B87" s="43"/>
      <c r="C87" s="45"/>
      <c r="D87" s="45"/>
      <c r="E87" s="83">
        <f t="shared" si="9"/>
        <v>3.6999999999999948</v>
      </c>
      <c r="F87" s="112">
        <f t="shared" si="8"/>
        <v>438.54066924511812</v>
      </c>
      <c r="G87" s="115">
        <f t="shared" si="6"/>
        <v>0.23695129234304202</v>
      </c>
      <c r="H87" s="116">
        <f t="shared" si="7"/>
        <v>0.26532961293950807</v>
      </c>
      <c r="I87" s="45"/>
      <c r="J87" s="45"/>
      <c r="K87" s="16"/>
      <c r="L87" s="36"/>
      <c r="M87" s="36"/>
      <c r="N87" s="36"/>
      <c r="O87" s="36"/>
      <c r="P87" s="36"/>
      <c r="Q87" s="36"/>
      <c r="R87" s="36"/>
      <c r="S87" s="36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</row>
    <row r="88" spans="1:111" x14ac:dyDescent="0.2">
      <c r="A88" s="10"/>
      <c r="B88" s="43"/>
      <c r="C88" s="45"/>
      <c r="D88" s="45"/>
      <c r="E88" s="83">
        <f t="shared" si="9"/>
        <v>3.7499999999999947</v>
      </c>
      <c r="F88" s="112">
        <f t="shared" si="8"/>
        <v>441.03488130494816</v>
      </c>
      <c r="G88" s="115">
        <f t="shared" si="6"/>
        <v>0.24091900979409375</v>
      </c>
      <c r="H88" s="116">
        <f t="shared" si="7"/>
        <v>0.26838437105335788</v>
      </c>
      <c r="I88" s="45"/>
      <c r="J88" s="45"/>
      <c r="K88" s="16"/>
      <c r="L88" s="36"/>
      <c r="M88" s="36"/>
      <c r="N88" s="36"/>
      <c r="O88" s="36"/>
      <c r="P88" s="36"/>
      <c r="Q88" s="36"/>
      <c r="R88" s="36"/>
      <c r="S88" s="36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</row>
    <row r="89" spans="1:111" x14ac:dyDescent="0.2">
      <c r="A89" s="10"/>
      <c r="B89" s="43"/>
      <c r="C89" s="45"/>
      <c r="D89" s="45"/>
      <c r="E89" s="83">
        <f t="shared" si="9"/>
        <v>3.7999999999999945</v>
      </c>
      <c r="F89" s="112">
        <f t="shared" si="8"/>
        <v>443.50424072675611</v>
      </c>
      <c r="G89" s="115">
        <f t="shared" si="6"/>
        <v>0.24488560082621857</v>
      </c>
      <c r="H89" s="116">
        <f t="shared" si="7"/>
        <v>0.27142642748860679</v>
      </c>
      <c r="I89" s="45"/>
      <c r="J89" s="45"/>
      <c r="K89" s="16"/>
      <c r="L89" s="36"/>
      <c r="M89" s="36"/>
      <c r="N89" s="36"/>
      <c r="O89" s="36"/>
      <c r="P89" s="36"/>
      <c r="Q89" s="36"/>
      <c r="R89" s="36"/>
      <c r="S89" s="36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</row>
    <row r="90" spans="1:111" x14ac:dyDescent="0.2">
      <c r="A90" s="10"/>
      <c r="B90" s="38"/>
      <c r="C90" s="39"/>
      <c r="D90" s="39"/>
      <c r="E90" s="83">
        <f t="shared" si="9"/>
        <v>3.8499999999999943</v>
      </c>
      <c r="F90" s="112">
        <f t="shared" si="8"/>
        <v>445.95050630128208</v>
      </c>
      <c r="G90" s="115">
        <f t="shared" si="6"/>
        <v>0.24885124796179003</v>
      </c>
      <c r="H90" s="116">
        <f t="shared" si="7"/>
        <v>0.27445583505881077</v>
      </c>
      <c r="I90" s="40"/>
      <c r="J90" s="10"/>
      <c r="K90" s="16"/>
      <c r="L90" s="36"/>
      <c r="M90" s="36"/>
      <c r="N90" s="36"/>
      <c r="O90" s="36"/>
      <c r="P90" s="36"/>
      <c r="Q90" s="36"/>
      <c r="R90" s="36"/>
      <c r="S90" s="36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</row>
    <row r="91" spans="1:111" x14ac:dyDescent="0.2">
      <c r="A91" s="10"/>
      <c r="B91" s="43"/>
      <c r="C91" s="43"/>
      <c r="D91" s="43"/>
      <c r="E91" s="83">
        <f t="shared" si="9"/>
        <v>3.8999999999999941</v>
      </c>
      <c r="F91" s="112">
        <f t="shared" si="8"/>
        <v>448.37552832246996</v>
      </c>
      <c r="G91" s="115">
        <f t="shared" si="6"/>
        <v>0.2528162150668728</v>
      </c>
      <c r="H91" s="116">
        <f t="shared" si="7"/>
        <v>0.27747264635792745</v>
      </c>
      <c r="I91" s="43"/>
      <c r="J91" s="43"/>
      <c r="K91" s="16"/>
      <c r="L91" s="36"/>
      <c r="M91" s="36"/>
      <c r="N91" s="36"/>
      <c r="O91" s="36"/>
      <c r="P91" s="36"/>
      <c r="Q91" s="36"/>
      <c r="R91" s="36"/>
      <c r="S91" s="36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</row>
    <row r="92" spans="1:111" x14ac:dyDescent="0.2">
      <c r="A92" s="10"/>
      <c r="B92" s="43"/>
      <c r="C92" s="45"/>
      <c r="D92" s="45"/>
      <c r="E92" s="83">
        <f t="shared" si="9"/>
        <v>3.949999999999994</v>
      </c>
      <c r="F92" s="112">
        <f t="shared" si="8"/>
        <v>450.78108076968067</v>
      </c>
      <c r="G92" s="115">
        <f t="shared" si="6"/>
        <v>0.25678076575309394</v>
      </c>
      <c r="H92" s="116">
        <f t="shared" si="7"/>
        <v>0.28047691376122885</v>
      </c>
      <c r="I92" s="45"/>
      <c r="J92" s="45"/>
      <c r="K92" s="16"/>
      <c r="L92" s="36"/>
      <c r="M92" s="36"/>
      <c r="N92" s="36"/>
      <c r="O92" s="36"/>
      <c r="P92" s="36"/>
      <c r="Q92" s="36"/>
      <c r="R92" s="36"/>
      <c r="S92" s="36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</row>
    <row r="93" spans="1:111" x14ac:dyDescent="0.2">
      <c r="A93" s="10"/>
      <c r="B93" s="43"/>
      <c r="C93" s="45"/>
      <c r="D93" s="45"/>
      <c r="E93" s="83">
        <f t="shared" si="9"/>
        <v>3.9999999999999938</v>
      </c>
      <c r="F93" s="112">
        <f t="shared" si="8"/>
        <v>453.16901421546777</v>
      </c>
      <c r="G93" s="115">
        <f t="shared" si="6"/>
        <v>0.26074523617935996</v>
      </c>
      <c r="H93" s="116">
        <f t="shared" si="7"/>
        <v>0.2834686894262104</v>
      </c>
      <c r="I93" s="45"/>
      <c r="J93" s="45"/>
      <c r="K93" s="16"/>
      <c r="L93" s="36"/>
      <c r="M93" s="36"/>
      <c r="N93" s="36"/>
      <c r="O93" s="36"/>
      <c r="P93" s="36"/>
      <c r="Q93" s="36"/>
      <c r="R93" s="36"/>
      <c r="S93" s="36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</row>
    <row r="94" spans="1:111" x14ac:dyDescent="0.2">
      <c r="A94" s="10"/>
      <c r="B94" s="43"/>
      <c r="C94" s="45"/>
      <c r="D94" s="45"/>
      <c r="E94" s="83">
        <f t="shared" si="9"/>
        <v>4.0499999999999936</v>
      </c>
      <c r="F94" s="112">
        <f t="shared" si="8"/>
        <v>455.54108724754769</v>
      </c>
      <c r="G94" s="115">
        <f t="shared" si="6"/>
        <v>0.26470995156530897</v>
      </c>
      <c r="H94" s="116">
        <f t="shared" si="7"/>
        <v>0.28644802529349722</v>
      </c>
      <c r="I94" s="45"/>
      <c r="J94" s="45"/>
      <c r="K94" s="16"/>
      <c r="L94" s="36"/>
      <c r="M94" s="36"/>
      <c r="N94" s="36"/>
      <c r="O94" s="36"/>
      <c r="P94" s="36"/>
      <c r="Q94" s="36"/>
      <c r="R94" s="36"/>
      <c r="S94" s="36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</row>
    <row r="95" spans="1:111" x14ac:dyDescent="0.2">
      <c r="A95" s="10"/>
      <c r="B95" s="43"/>
      <c r="C95" s="45"/>
      <c r="D95" s="45"/>
      <c r="E95" s="83">
        <f t="shared" si="9"/>
        <v>4.0999999999999934</v>
      </c>
      <c r="F95" s="112">
        <f t="shared" si="8"/>
        <v>457.89911977462566</v>
      </c>
      <c r="G95" s="115">
        <f t="shared" si="6"/>
        <v>0.26867530002832274</v>
      </c>
      <c r="H95" s="116">
        <f t="shared" si="7"/>
        <v>0.289414973087745</v>
      </c>
      <c r="I95" s="45"/>
      <c r="J95" s="45"/>
      <c r="K95" s="16"/>
      <c r="L95" s="36"/>
      <c r="M95" s="36"/>
      <c r="N95" s="36"/>
      <c r="O95" s="36"/>
      <c r="P95" s="36"/>
      <c r="Q95" s="36"/>
      <c r="R95" s="36"/>
      <c r="S95" s="36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</row>
    <row r="96" spans="1:111" x14ac:dyDescent="0.2">
      <c r="A96" s="10"/>
      <c r="B96" s="43"/>
      <c r="C96" s="45"/>
      <c r="D96" s="45"/>
      <c r="E96" s="83">
        <f t="shared" si="9"/>
        <v>4.1499999999999932</v>
      </c>
      <c r="F96" s="112">
        <f t="shared" si="8"/>
        <v>460.24491656425334</v>
      </c>
      <c r="G96" s="115">
        <f t="shared" si="6"/>
        <v>0.27264169399933114</v>
      </c>
      <c r="H96" s="116">
        <f t="shared" si="7"/>
        <v>0.29236958431853866</v>
      </c>
      <c r="I96" s="45"/>
      <c r="J96" s="45"/>
      <c r="K96" s="16"/>
      <c r="L96" s="36"/>
      <c r="M96" s="36"/>
      <c r="N96" s="36"/>
      <c r="O96" s="36"/>
      <c r="P96" s="36"/>
      <c r="Q96" s="36"/>
      <c r="R96" s="36"/>
      <c r="S96" s="36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</row>
    <row r="97" spans="1:111" x14ac:dyDescent="0.2">
      <c r="A97" s="10"/>
      <c r="B97" s="43"/>
      <c r="C97" s="45"/>
      <c r="D97" s="45"/>
      <c r="E97" s="83">
        <f t="shared" si="9"/>
        <v>4.1999999999999931</v>
      </c>
      <c r="F97" s="112">
        <f t="shared" si="8"/>
        <v>462.58028184224122</v>
      </c>
      <c r="G97" s="115">
        <f t="shared" si="6"/>
        <v>0.27660957617953119</v>
      </c>
      <c r="H97" s="116">
        <f t="shared" si="7"/>
        <v>0.29531191028128612</v>
      </c>
      <c r="I97" s="45"/>
      <c r="J97" s="45"/>
      <c r="K97" s="16"/>
      <c r="L97" s="36"/>
      <c r="M97" s="36"/>
      <c r="N97" s="36"/>
      <c r="O97" s="36"/>
      <c r="P97" s="36"/>
      <c r="Q97" s="36"/>
      <c r="R97" s="36"/>
      <c r="S97" s="36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</row>
    <row r="98" spans="1:111" x14ac:dyDescent="0.2">
      <c r="A98" s="10"/>
      <c r="B98" s="43"/>
      <c r="C98" s="45"/>
      <c r="D98" s="45"/>
      <c r="E98" s="83">
        <f t="shared" si="9"/>
        <v>4.2499999999999929</v>
      </c>
      <c r="F98" s="112">
        <f t="shared" si="8"/>
        <v>464.90702034905377</v>
      </c>
      <c r="G98" s="115">
        <f t="shared" si="6"/>
        <v>0.28057941888976534</v>
      </c>
      <c r="H98" s="116">
        <f t="shared" si="7"/>
        <v>0.29824200205810958</v>
      </c>
      <c r="I98" s="45"/>
      <c r="J98" s="45"/>
      <c r="K98" s="16"/>
      <c r="L98" s="36"/>
      <c r="M98" s="36"/>
      <c r="N98" s="36"/>
      <c r="O98" s="36"/>
      <c r="P98" s="36"/>
      <c r="Q98" s="36"/>
      <c r="R98" s="36"/>
      <c r="S98" s="36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</row>
    <row r="99" spans="1:111" x14ac:dyDescent="0.2">
      <c r="A99" s="10"/>
      <c r="B99" s="38"/>
      <c r="C99" s="39"/>
      <c r="D99" s="39"/>
      <c r="E99" s="83">
        <f t="shared" si="9"/>
        <v>4.2999999999999927</v>
      </c>
      <c r="F99" s="112">
        <f t="shared" si="8"/>
        <v>467.2269366631491</v>
      </c>
      <c r="G99" s="115">
        <f t="shared" si="6"/>
        <v>0.28455172254815919</v>
      </c>
      <c r="H99" s="116">
        <f t="shared" si="7"/>
        <v>0.30115991051873126</v>
      </c>
      <c r="I99" s="40"/>
      <c r="J99" s="10"/>
      <c r="K99" s="16"/>
      <c r="L99" s="36"/>
      <c r="M99" s="36"/>
      <c r="N99" s="36"/>
      <c r="O99" s="36"/>
      <c r="P99" s="36"/>
      <c r="Q99" s="36"/>
      <c r="R99" s="36"/>
      <c r="S99" s="36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</row>
    <row r="100" spans="1:111" x14ac:dyDescent="0.2">
      <c r="A100" s="10"/>
      <c r="B100" s="38"/>
      <c r="C100" s="39"/>
      <c r="D100" s="39"/>
      <c r="E100" s="83">
        <f t="shared" si="9"/>
        <v>4.3499999999999925</v>
      </c>
      <c r="F100" s="112">
        <f t="shared" si="8"/>
        <v>469.54183536298535</v>
      </c>
      <c r="G100" s="115">
        <f t="shared" si="6"/>
        <v>0.28852701456292817</v>
      </c>
      <c r="H100" s="116">
        <f t="shared" si="7"/>
        <v>0.30406568632135766</v>
      </c>
      <c r="I100" s="40"/>
      <c r="J100" s="10"/>
      <c r="K100" s="16"/>
      <c r="L100" s="36"/>
      <c r="M100" s="36"/>
      <c r="N100" s="36"/>
      <c r="O100" s="36"/>
      <c r="P100" s="36"/>
      <c r="Q100" s="36"/>
      <c r="R100" s="36"/>
      <c r="S100" s="36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</row>
    <row r="101" spans="1:111" x14ac:dyDescent="0.2">
      <c r="A101" s="10"/>
      <c r="B101" s="38"/>
      <c r="C101" s="39"/>
      <c r="D101" s="39"/>
      <c r="E101" s="83">
        <f t="shared" si="9"/>
        <v>4.3999999999999924</v>
      </c>
      <c r="F101" s="112">
        <f t="shared" si="8"/>
        <v>471.85352895772655</v>
      </c>
      <c r="G101" s="115">
        <f t="shared" si="6"/>
        <v>0.2925058522537225</v>
      </c>
      <c r="H101" s="116">
        <f t="shared" si="7"/>
        <v>0.30695937991355804</v>
      </c>
      <c r="I101" s="40"/>
      <c r="J101" s="10"/>
      <c r="K101" s="16"/>
      <c r="L101" s="36"/>
      <c r="M101" s="36"/>
      <c r="N101" s="36"/>
      <c r="O101" s="36"/>
      <c r="P101" s="36"/>
      <c r="Q101" s="36"/>
      <c r="R101" s="36"/>
      <c r="S101" s="36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</row>
    <row r="102" spans="1:111" x14ac:dyDescent="0.2">
      <c r="A102" s="10"/>
      <c r="B102" s="38"/>
      <c r="C102" s="39"/>
      <c r="D102" s="39"/>
      <c r="E102" s="83">
        <f t="shared" si="9"/>
        <v>4.4499999999999922</v>
      </c>
      <c r="F102" s="112">
        <f t="shared" si="8"/>
        <v>474.16379855282469</v>
      </c>
      <c r="G102" s="115">
        <f t="shared" si="6"/>
        <v>0.29648880124540211</v>
      </c>
      <c r="H102" s="116">
        <f t="shared" si="7"/>
        <v>0.30984104153314129</v>
      </c>
      <c r="I102" s="40"/>
      <c r="J102" s="10"/>
      <c r="K102" s="16"/>
      <c r="L102" s="36"/>
      <c r="M102" s="36"/>
      <c r="N102" s="36"/>
      <c r="O102" s="36"/>
      <c r="P102" s="36"/>
      <c r="Q102" s="36"/>
      <c r="R102" s="36"/>
      <c r="S102" s="36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</row>
    <row r="103" spans="1:111" x14ac:dyDescent="0.2">
      <c r="A103" s="10"/>
      <c r="B103" s="38"/>
      <c r="C103" s="39"/>
      <c r="D103" s="39"/>
      <c r="E103" s="83">
        <f t="shared" si="9"/>
        <v>4.499999999999992</v>
      </c>
      <c r="F103" s="112">
        <f t="shared" si="8"/>
        <v>476.47447189688484</v>
      </c>
      <c r="G103" s="115">
        <f t="shared" si="6"/>
        <v>0.30047647475213424</v>
      </c>
      <c r="H103" s="116">
        <f t="shared" si="7"/>
        <v>0.31271072120902732</v>
      </c>
      <c r="I103" s="40"/>
      <c r="J103" s="10"/>
      <c r="K103" s="16"/>
      <c r="L103" s="36"/>
      <c r="M103" s="36"/>
      <c r="N103" s="36"/>
      <c r="O103" s="36"/>
      <c r="P103" s="36"/>
      <c r="Q103" s="36"/>
      <c r="R103" s="36"/>
      <c r="S103" s="36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</row>
    <row r="104" spans="1:111" x14ac:dyDescent="0.2">
      <c r="A104" s="10"/>
      <c r="B104" s="38"/>
      <c r="C104" s="39"/>
      <c r="D104" s="39"/>
      <c r="E104" s="83">
        <f t="shared" si="9"/>
        <v>4.5499999999999918</v>
      </c>
      <c r="F104" s="112">
        <f t="shared" si="8"/>
        <v>478.78734593897059</v>
      </c>
      <c r="G104" s="115">
        <f t="shared" si="6"/>
        <v>0.30446949218673602</v>
      </c>
      <c r="H104" s="116">
        <f t="shared" si="7"/>
        <v>0.31556846876211597</v>
      </c>
      <c r="I104" s="40"/>
      <c r="J104" s="10"/>
      <c r="K104" s="16"/>
      <c r="L104" s="36"/>
      <c r="M104" s="36"/>
      <c r="N104" s="36"/>
      <c r="O104" s="36"/>
      <c r="P104" s="36"/>
      <c r="Q104" s="36"/>
      <c r="R104" s="36"/>
      <c r="S104" s="36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</row>
    <row r="105" spans="1:111" x14ac:dyDescent="0.2">
      <c r="A105" s="10"/>
      <c r="B105" s="38"/>
      <c r="C105" s="39"/>
      <c r="D105" s="39"/>
      <c r="E105" s="83">
        <f t="shared" si="9"/>
        <v>4.5999999999999917</v>
      </c>
      <c r="F105" s="112">
        <f t="shared" si="8"/>
        <v>481.10422543915234</v>
      </c>
      <c r="G105" s="115">
        <f t="shared" si="6"/>
        <v>0.30846849797186393</v>
      </c>
      <c r="H105" s="116">
        <f t="shared" si="7"/>
        <v>0.31841433380615169</v>
      </c>
      <c r="I105" s="40"/>
      <c r="J105" s="10"/>
      <c r="K105" s="16"/>
      <c r="L105" s="36"/>
      <c r="M105" s="36"/>
      <c r="N105" s="36"/>
      <c r="O105" s="36"/>
      <c r="P105" s="36"/>
      <c r="Q105" s="36"/>
      <c r="R105" s="36"/>
      <c r="S105" s="36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</row>
    <row r="106" spans="1:111" x14ac:dyDescent="0.2">
      <c r="A106" s="10"/>
      <c r="B106" s="38"/>
      <c r="C106" s="39"/>
      <c r="D106" s="39"/>
      <c r="E106" s="83">
        <f t="shared" si="9"/>
        <v>4.6499999999999915</v>
      </c>
      <c r="F106" s="112">
        <f t="shared" si="8"/>
        <v>483.42691461846812</v>
      </c>
      <c r="G106" s="115">
        <f t="shared" si="6"/>
        <v>0.31247415596843875</v>
      </c>
      <c r="H106" s="116">
        <f t="shared" si="7"/>
        <v>0.32124836574858517</v>
      </c>
      <c r="I106" s="40"/>
      <c r="J106" s="10"/>
      <c r="K106" s="16"/>
      <c r="L106" s="36"/>
      <c r="M106" s="36"/>
      <c r="N106" s="36"/>
      <c r="O106" s="36"/>
      <c r="P106" s="36"/>
      <c r="Q106" s="36"/>
      <c r="R106" s="36"/>
      <c r="S106" s="36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</row>
    <row r="107" spans="1:111" x14ac:dyDescent="0.2">
      <c r="A107" s="10"/>
      <c r="B107" s="38"/>
      <c r="C107" s="39"/>
      <c r="D107" s="39"/>
      <c r="E107" s="83">
        <f t="shared" si="9"/>
        <v>4.6999999999999913</v>
      </c>
      <c r="F107" s="112">
        <f t="shared" si="8"/>
        <v>485.7572222375544</v>
      </c>
      <c r="G107" s="115">
        <f t="shared" si="6"/>
        <v>0.31648715094587176</v>
      </c>
      <c r="H107" s="116">
        <f t="shared" si="7"/>
        <v>0.32407061379143109</v>
      </c>
      <c r="I107" s="40"/>
      <c r="J107" s="10"/>
      <c r="K107" s="16"/>
      <c r="L107" s="36"/>
      <c r="M107" s="36"/>
      <c r="N107" s="36"/>
      <c r="O107" s="36"/>
      <c r="P107" s="36"/>
      <c r="Q107" s="36"/>
      <c r="R107" s="36"/>
      <c r="S107" s="36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</row>
    <row r="108" spans="1:111" x14ac:dyDescent="0.2">
      <c r="A108" s="10"/>
      <c r="B108" s="38"/>
      <c r="C108" s="39"/>
      <c r="D108" s="39"/>
      <c r="E108" s="83">
        <f t="shared" si="9"/>
        <v>4.7499999999999911</v>
      </c>
      <c r="F108" s="112">
        <f t="shared" si="8"/>
        <v>488.09694105013978</v>
      </c>
      <c r="G108" s="115">
        <f t="shared" si="6"/>
        <v>0.32050817633382345</v>
      </c>
      <c r="H108" s="116">
        <f t="shared" si="7"/>
        <v>0.32688112693212235</v>
      </c>
      <c r="I108" s="40"/>
      <c r="J108" s="10"/>
      <c r="K108" s="16"/>
      <c r="L108" s="36"/>
      <c r="M108" s="36"/>
      <c r="N108" s="36"/>
      <c r="O108" s="36"/>
      <c r="P108" s="36"/>
      <c r="Q108" s="36"/>
      <c r="R108" s="36"/>
      <c r="S108" s="36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</row>
    <row r="109" spans="1:111" x14ac:dyDescent="0.2">
      <c r="A109" s="10"/>
      <c r="B109" s="38"/>
      <c r="C109" s="39"/>
      <c r="D109" s="39"/>
      <c r="E109" s="83">
        <f t="shared" si="9"/>
        <v>4.7999999999999909</v>
      </c>
      <c r="F109" s="112">
        <f t="shared" si="8"/>
        <v>490.44788736628402</v>
      </c>
      <c r="G109" s="115">
        <f t="shared" si="6"/>
        <v>0.32453795413787767</v>
      </c>
      <c r="H109" s="116">
        <f t="shared" si="7"/>
        <v>0.32967995396436023</v>
      </c>
      <c r="I109" s="40"/>
      <c r="J109" s="10"/>
      <c r="K109" s="16"/>
      <c r="L109" s="36"/>
      <c r="M109" s="36"/>
      <c r="N109" s="36"/>
      <c r="O109" s="36"/>
      <c r="P109" s="36"/>
      <c r="Q109" s="36"/>
      <c r="R109" s="36"/>
      <c r="S109" s="36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</row>
    <row r="110" spans="1:111" x14ac:dyDescent="0.2">
      <c r="A110" s="10"/>
      <c r="B110" s="38"/>
      <c r="C110" s="39"/>
      <c r="D110" s="39"/>
      <c r="E110" s="83">
        <f t="shared" si="9"/>
        <v>4.8499999999999908</v>
      </c>
      <c r="F110" s="112">
        <f t="shared" si="8"/>
        <v>492.81186375971214</v>
      </c>
      <c r="G110" s="115">
        <f t="shared" si="6"/>
        <v>0.3285772137092281</v>
      </c>
      <c r="H110" s="116">
        <f t="shared" si="7"/>
        <v>0.33246714347896222</v>
      </c>
      <c r="I110" s="40"/>
      <c r="J110" s="10"/>
      <c r="K110" s="16"/>
      <c r="L110" s="36"/>
      <c r="M110" s="36"/>
      <c r="N110" s="36"/>
      <c r="O110" s="36"/>
      <c r="P110" s="36"/>
      <c r="Q110" s="36"/>
      <c r="R110" s="36"/>
      <c r="S110" s="36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</row>
    <row r="111" spans="1:111" x14ac:dyDescent="0.2">
      <c r="A111" s="10"/>
      <c r="B111" s="38"/>
      <c r="C111" s="39"/>
      <c r="D111" s="39"/>
      <c r="E111" s="83">
        <f t="shared" si="9"/>
        <v>4.8999999999999906</v>
      </c>
      <c r="F111" s="112">
        <f t="shared" si="8"/>
        <v>495.19066903446816</v>
      </c>
      <c r="G111" s="115">
        <f t="shared" si="6"/>
        <v>0.33262669571965653</v>
      </c>
      <c r="H111" s="116">
        <f t="shared" si="7"/>
        <v>0.3352427438647051</v>
      </c>
      <c r="I111" s="40"/>
      <c r="J111" s="10"/>
      <c r="K111" s="16"/>
      <c r="L111" s="36"/>
      <c r="M111" s="36"/>
      <c r="N111" s="36"/>
      <c r="O111" s="36"/>
      <c r="P111" s="36"/>
      <c r="Q111" s="36"/>
      <c r="R111" s="36"/>
      <c r="S111" s="36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</row>
    <row r="112" spans="1:111" x14ac:dyDescent="0.2">
      <c r="A112" s="10"/>
      <c r="B112" s="38"/>
      <c r="C112" s="39"/>
      <c r="D112" s="39"/>
      <c r="E112" s="83">
        <f t="shared" si="9"/>
        <v>4.9499999999999904</v>
      </c>
      <c r="F112" s="112">
        <f t="shared" si="8"/>
        <v>497.58611356627097</v>
      </c>
      <c r="G112" s="115">
        <f t="shared" si="6"/>
        <v>0.33668715921122705</v>
      </c>
      <c r="H112" s="116">
        <f t="shared" si="7"/>
        <v>0.33800680330916544</v>
      </c>
      <c r="I112" s="40"/>
      <c r="J112" s="10"/>
      <c r="K112" s="16"/>
      <c r="L112" s="36"/>
      <c r="M112" s="36"/>
      <c r="N112" s="36"/>
      <c r="O112" s="36"/>
      <c r="P112" s="36"/>
      <c r="Q112" s="36"/>
      <c r="R112" s="36"/>
      <c r="S112" s="36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</row>
    <row r="113" spans="1:111" x14ac:dyDescent="0.2">
      <c r="A113" s="10"/>
      <c r="B113" s="38"/>
      <c r="C113" s="39"/>
      <c r="D113" s="39"/>
      <c r="E113" s="83">
        <f t="shared" si="9"/>
        <v>4.9999999999999902</v>
      </c>
      <c r="F113" s="112">
        <f t="shared" si="8"/>
        <v>499.99999999999699</v>
      </c>
      <c r="G113" s="115">
        <f t="shared" si="6"/>
        <v>0.34075936979955412</v>
      </c>
      <c r="H113" s="116">
        <f t="shared" si="7"/>
        <v>0.34075936979955568</v>
      </c>
      <c r="I113" s="40"/>
      <c r="J113" s="10"/>
      <c r="K113" s="16"/>
      <c r="L113" s="36"/>
      <c r="M113" s="36"/>
      <c r="N113" s="36"/>
      <c r="O113" s="36"/>
      <c r="P113" s="36"/>
      <c r="Q113" s="36"/>
      <c r="R113" s="36"/>
      <c r="S113" s="36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</row>
    <row r="114" spans="1:111" x14ac:dyDescent="0.2">
      <c r="A114" s="10"/>
      <c r="B114" s="38"/>
      <c r="C114" s="39"/>
      <c r="D114" s="39"/>
      <c r="E114" s="83">
        <f t="shared" si="9"/>
        <v>5.0499999999999901</v>
      </c>
      <c r="F114" s="112">
        <f t="shared" si="8"/>
        <v>502.433626994777</v>
      </c>
      <c r="G114" s="115">
        <f t="shared" si="6"/>
        <v>0.34484382460718199</v>
      </c>
      <c r="H114" s="116">
        <f t="shared" si="7"/>
        <v>0.34350049112355774</v>
      </c>
      <c r="I114" s="40"/>
      <c r="J114" s="10"/>
      <c r="K114" s="16"/>
      <c r="L114" s="36"/>
      <c r="M114" s="36"/>
      <c r="N114" s="36"/>
      <c r="O114" s="36"/>
      <c r="P114" s="36"/>
      <c r="Q114" s="36"/>
      <c r="R114" s="36"/>
      <c r="S114" s="36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</row>
    <row r="115" spans="1:111" x14ac:dyDescent="0.2">
      <c r="A115" s="10"/>
      <c r="B115" s="38"/>
      <c r="C115" s="39"/>
      <c r="D115" s="39"/>
      <c r="E115" s="83">
        <f t="shared" si="9"/>
        <v>5.0999999999999899</v>
      </c>
      <c r="F115" s="112">
        <f t="shared" si="8"/>
        <v>504.88626748801289</v>
      </c>
      <c r="G115" s="115">
        <f t="shared" si="6"/>
        <v>0.3489399038012192</v>
      </c>
      <c r="H115" s="116">
        <f t="shared" si="7"/>
        <v>0.34623021487015215</v>
      </c>
      <c r="I115" s="40"/>
      <c r="J115" s="10"/>
      <c r="K115" s="16"/>
      <c r="L115" s="36"/>
      <c r="M115" s="36"/>
      <c r="N115" s="36"/>
      <c r="O115" s="36"/>
      <c r="P115" s="36"/>
      <c r="Q115" s="36"/>
      <c r="R115" s="36"/>
      <c r="S115" s="36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</row>
    <row r="116" spans="1:111" x14ac:dyDescent="0.2">
      <c r="A116" s="10"/>
      <c r="B116" s="38"/>
      <c r="C116" s="39"/>
      <c r="D116" s="39"/>
      <c r="E116" s="83">
        <f t="shared" si="9"/>
        <v>5.1499999999999897</v>
      </c>
      <c r="F116" s="112">
        <f t="shared" si="8"/>
        <v>507.35669023098819</v>
      </c>
      <c r="G116" s="115">
        <f t="shared" si="6"/>
        <v>0.35304669530287169</v>
      </c>
      <c r="H116" s="116">
        <f t="shared" si="7"/>
        <v>0.34894858843044496</v>
      </c>
      <c r="I116" s="40"/>
      <c r="J116" s="10"/>
      <c r="K116" s="16"/>
      <c r="L116" s="36"/>
      <c r="M116" s="36"/>
      <c r="N116" s="36"/>
      <c r="O116" s="36"/>
      <c r="P116" s="36"/>
      <c r="Q116" s="36"/>
      <c r="R116" s="36"/>
      <c r="S116" s="36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</row>
    <row r="117" spans="1:111" x14ac:dyDescent="0.2">
      <c r="A117" s="10"/>
      <c r="B117" s="38"/>
      <c r="C117" s="39"/>
      <c r="D117" s="39"/>
      <c r="E117" s="83">
        <f t="shared" si="9"/>
        <v>5.1999999999999895</v>
      </c>
      <c r="F117" s="112">
        <f t="shared" si="8"/>
        <v>509.84366177461646</v>
      </c>
      <c r="G117" s="115">
        <f t="shared" si="6"/>
        <v>0.35716327048522167</v>
      </c>
      <c r="H117" s="116">
        <f t="shared" si="7"/>
        <v>0.35165565899848972</v>
      </c>
      <c r="I117" s="40"/>
      <c r="J117" s="10"/>
      <c r="K117" s="16"/>
      <c r="L117" s="36"/>
      <c r="M117" s="36"/>
      <c r="N117" s="36"/>
      <c r="O117" s="36"/>
      <c r="P117" s="36"/>
      <c r="Q117" s="36"/>
      <c r="R117" s="36"/>
      <c r="S117" s="36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</row>
    <row r="118" spans="1:111" x14ac:dyDescent="0.2">
      <c r="A118" s="10"/>
      <c r="B118" s="38"/>
      <c r="C118" s="39"/>
      <c r="D118" s="39"/>
      <c r="E118" s="83">
        <f t="shared" si="9"/>
        <v>5.2499999999999893</v>
      </c>
      <c r="F118" s="112">
        <f t="shared" si="8"/>
        <v>512.3459506891636</v>
      </c>
      <c r="G118" s="115">
        <f t="shared" si="6"/>
        <v>0.36128868752544063</v>
      </c>
      <c r="H118" s="116">
        <f t="shared" si="7"/>
        <v>0.35435147357210739</v>
      </c>
      <c r="I118" s="40"/>
      <c r="J118" s="10"/>
      <c r="K118" s="16"/>
      <c r="L118" s="36"/>
      <c r="M118" s="36"/>
      <c r="N118" s="36"/>
      <c r="O118" s="36"/>
      <c r="P118" s="36"/>
      <c r="Q118" s="36"/>
      <c r="R118" s="36"/>
      <c r="S118" s="36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</row>
    <row r="119" spans="1:111" x14ac:dyDescent="0.2">
      <c r="A119" s="10"/>
      <c r="B119" s="38"/>
      <c r="C119" s="39"/>
      <c r="D119" s="39"/>
      <c r="E119" s="83">
        <f t="shared" si="9"/>
        <v>5.2999999999999892</v>
      </c>
      <c r="F119" s="112">
        <f t="shared" si="8"/>
        <v>514.86232407744558</v>
      </c>
      <c r="G119" s="115">
        <f t="shared" si="6"/>
        <v>0.36542199047752955</v>
      </c>
      <c r="H119" s="116">
        <f t="shared" si="7"/>
        <v>0.35703607895370204</v>
      </c>
      <c r="I119" s="40"/>
      <c r="J119" s="10"/>
      <c r="K119" s="16"/>
      <c r="L119" s="36"/>
      <c r="M119" s="36"/>
      <c r="N119" s="36"/>
      <c r="O119" s="36"/>
      <c r="P119" s="36"/>
      <c r="Q119" s="36"/>
      <c r="R119" s="36"/>
      <c r="S119" s="36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</row>
    <row r="120" spans="1:111" x14ac:dyDescent="0.2">
      <c r="A120" s="10"/>
      <c r="B120" s="38"/>
      <c r="C120" s="39"/>
      <c r="D120" s="39"/>
      <c r="E120" s="83">
        <f t="shared" si="9"/>
        <v>5.349999999999989</v>
      </c>
      <c r="F120" s="112">
        <f t="shared" si="8"/>
        <v>517.39154921122872</v>
      </c>
      <c r="G120" s="115">
        <f t="shared" si="6"/>
        <v>0.36956221118365118</v>
      </c>
      <c r="H120" s="116">
        <f t="shared" si="7"/>
        <v>0.3597095217510734</v>
      </c>
      <c r="I120" s="40"/>
      <c r="J120" s="10"/>
      <c r="K120" s="16"/>
      <c r="L120" s="36"/>
      <c r="M120" s="36"/>
      <c r="N120" s="36"/>
      <c r="O120" s="36"/>
      <c r="P120" s="36"/>
      <c r="Q120" s="36"/>
      <c r="R120" s="36"/>
      <c r="S120" s="36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</row>
    <row r="121" spans="1:111" x14ac:dyDescent="0.2">
      <c r="A121" s="10"/>
      <c r="B121" s="38"/>
      <c r="C121" s="39"/>
      <c r="D121" s="39"/>
      <c r="E121" s="83">
        <f t="shared" si="9"/>
        <v>5.3999999999999888</v>
      </c>
      <c r="F121" s="112">
        <f t="shared" si="8"/>
        <v>519.93239440735397</v>
      </c>
      <c r="G121" s="115">
        <f t="shared" si="6"/>
        <v>0.37370837076663554</v>
      </c>
      <c r="H121" s="116">
        <f t="shared" si="7"/>
        <v>0.36237184837822611</v>
      </c>
      <c r="I121" s="40"/>
      <c r="J121" s="10"/>
      <c r="K121" s="16"/>
      <c r="L121" s="36"/>
      <c r="M121" s="36"/>
      <c r="N121" s="36"/>
      <c r="O121" s="36"/>
      <c r="P121" s="36"/>
      <c r="Q121" s="36"/>
      <c r="R121" s="36"/>
      <c r="S121" s="36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</row>
    <row r="122" spans="1:111" x14ac:dyDescent="0.2">
      <c r="A122" s="10"/>
      <c r="B122" s="38"/>
      <c r="C122" s="39"/>
      <c r="D122" s="39"/>
      <c r="E122" s="83">
        <f t="shared" si="9"/>
        <v>5.4499999999999886</v>
      </c>
      <c r="F122" s="112">
        <f t="shared" si="8"/>
        <v>522.4836266391095</v>
      </c>
      <c r="G122" s="115">
        <f t="shared" si="6"/>
        <v>0.37785947927687336</v>
      </c>
      <c r="H122" s="116">
        <f t="shared" si="7"/>
        <v>0.36502310505617541</v>
      </c>
      <c r="I122" s="40"/>
      <c r="J122" s="10"/>
      <c r="K122" s="16"/>
      <c r="L122" s="36"/>
      <c r="M122" s="36"/>
      <c r="N122" s="36"/>
      <c r="O122" s="36"/>
      <c r="P122" s="36"/>
      <c r="Q122" s="36"/>
      <c r="R122" s="36"/>
      <c r="S122" s="36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</row>
    <row r="123" spans="1:111" x14ac:dyDescent="0.2">
      <c r="A123" s="10"/>
      <c r="B123" s="38"/>
      <c r="C123" s="39"/>
      <c r="D123" s="39"/>
      <c r="E123" s="83">
        <f t="shared" si="9"/>
        <v>5.4999999999999885</v>
      </c>
      <c r="F123" s="112">
        <f t="shared" si="8"/>
        <v>525.04401406645434</v>
      </c>
      <c r="G123" s="115">
        <f t="shared" si="6"/>
        <v>0.38201453809553509</v>
      </c>
      <c r="H123" s="116">
        <f t="shared" si="7"/>
        <v>0.3676633378137496</v>
      </c>
      <c r="I123" s="40"/>
      <c r="J123" s="10"/>
      <c r="K123" s="16"/>
      <c r="L123" s="36"/>
      <c r="M123" s="36"/>
      <c r="N123" s="36"/>
      <c r="O123" s="36"/>
      <c r="P123" s="36"/>
      <c r="Q123" s="36"/>
      <c r="R123" s="36"/>
      <c r="S123" s="36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</row>
    <row r="124" spans="1:111" x14ac:dyDescent="0.2">
      <c r="A124" s="10"/>
      <c r="B124" s="38"/>
      <c r="C124" s="39"/>
      <c r="D124" s="39"/>
      <c r="E124" s="83">
        <f t="shared" si="9"/>
        <v>5.5499999999999883</v>
      </c>
      <c r="F124" s="112">
        <f t="shared" si="8"/>
        <v>527.61232400037488</v>
      </c>
      <c r="G124" s="115">
        <f t="shared" si="6"/>
        <v>0.38617253975613852</v>
      </c>
      <c r="H124" s="116">
        <f t="shared" si="7"/>
        <v>0.37029259248838942</v>
      </c>
      <c r="I124" s="40"/>
      <c r="J124" s="10"/>
      <c r="K124" s="16"/>
      <c r="L124" s="36"/>
      <c r="M124" s="36"/>
      <c r="N124" s="36"/>
      <c r="O124" s="36"/>
      <c r="P124" s="36"/>
      <c r="Q124" s="36"/>
      <c r="R124" s="36"/>
      <c r="S124" s="36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</row>
    <row r="125" spans="1:111" x14ac:dyDescent="0.2">
      <c r="A125" s="10"/>
      <c r="B125" s="38"/>
      <c r="C125" s="39"/>
      <c r="D125" s="39"/>
      <c r="E125" s="83">
        <f t="shared" si="9"/>
        <v>5.5999999999999881</v>
      </c>
      <c r="F125" s="112">
        <f t="shared" si="8"/>
        <v>530.18732389667196</v>
      </c>
      <c r="G125" s="115">
        <f t="shared" si="6"/>
        <v>0.39033246946198874</v>
      </c>
      <c r="H125" s="116">
        <f t="shared" si="7"/>
        <v>0.37291091472694327</v>
      </c>
      <c r="I125" s="40"/>
      <c r="J125" s="10"/>
      <c r="K125" s="16"/>
      <c r="L125" s="36"/>
      <c r="M125" s="36"/>
      <c r="N125" s="36"/>
      <c r="O125" s="36"/>
      <c r="P125" s="36"/>
      <c r="Q125" s="36"/>
      <c r="R125" s="36"/>
      <c r="S125" s="36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</row>
    <row r="126" spans="1:111" x14ac:dyDescent="0.2">
      <c r="A126" s="10"/>
      <c r="B126" s="38"/>
      <c r="C126" s="39"/>
      <c r="D126" s="39"/>
      <c r="E126" s="83">
        <f t="shared" si="9"/>
        <v>5.6499999999999879</v>
      </c>
      <c r="F126" s="112">
        <f t="shared" si="8"/>
        <v>532.76778169808358</v>
      </c>
      <c r="G126" s="115">
        <f t="shared" si="6"/>
        <v>0.3944933062271283</v>
      </c>
      <c r="H126" s="116">
        <f t="shared" si="7"/>
        <v>0.37551834998646039</v>
      </c>
      <c r="I126" s="40"/>
      <c r="J126" s="10"/>
      <c r="K126" s="16"/>
      <c r="L126" s="36"/>
      <c r="M126" s="36"/>
      <c r="N126" s="36"/>
      <c r="O126" s="36"/>
      <c r="P126" s="36"/>
      <c r="Q126" s="36"/>
      <c r="R126" s="36"/>
      <c r="S126" s="36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</row>
    <row r="127" spans="1:111" x14ac:dyDescent="0.2">
      <c r="A127" s="10"/>
      <c r="B127" s="38"/>
      <c r="C127" s="39"/>
      <c r="D127" s="39"/>
      <c r="E127" s="83">
        <f t="shared" si="9"/>
        <v>5.6999999999999877</v>
      </c>
      <c r="F127" s="112">
        <f t="shared" si="8"/>
        <v>535.352464739933</v>
      </c>
      <c r="G127" s="115">
        <f t="shared" si="6"/>
        <v>0.39865402318487075</v>
      </c>
      <c r="H127" s="116">
        <f t="shared" si="7"/>
        <v>0.37811494353497932</v>
      </c>
      <c r="I127" s="40"/>
      <c r="J127" s="10"/>
      <c r="K127" s="16"/>
      <c r="L127" s="36"/>
      <c r="M127" s="36"/>
      <c r="N127" s="36"/>
      <c r="O127" s="36"/>
      <c r="P127" s="36"/>
      <c r="Q127" s="36"/>
      <c r="R127" s="36"/>
      <c r="S127" s="36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</row>
    <row r="128" spans="1:111" x14ac:dyDescent="0.2">
      <c r="A128" s="10"/>
      <c r="B128" s="38"/>
      <c r="C128" s="39"/>
      <c r="D128" s="39"/>
      <c r="E128" s="83">
        <f t="shared" si="9"/>
        <v>5.7499999999999876</v>
      </c>
      <c r="F128" s="112">
        <f t="shared" si="8"/>
        <v>537.9401408322118</v>
      </c>
      <c r="G128" s="115">
        <f t="shared" si="6"/>
        <v>0.40281358911970422</v>
      </c>
      <c r="H128" s="116">
        <f t="shared" si="7"/>
        <v>0.3807007404523145</v>
      </c>
      <c r="I128" s="40"/>
      <c r="J128" s="10"/>
      <c r="K128" s="16"/>
      <c r="L128" s="36"/>
      <c r="M128" s="36"/>
      <c r="N128" s="36"/>
      <c r="O128" s="36"/>
      <c r="P128" s="36"/>
      <c r="Q128" s="36"/>
      <c r="R128" s="36"/>
      <c r="S128" s="36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</row>
    <row r="129" spans="1:111" x14ac:dyDescent="0.2">
      <c r="A129" s="10"/>
      <c r="B129" s="38"/>
      <c r="C129" s="39"/>
      <c r="D129" s="39"/>
      <c r="E129" s="83">
        <f t="shared" si="9"/>
        <v>5.7999999999999874</v>
      </c>
      <c r="F129" s="112">
        <f t="shared" si="8"/>
        <v>540.52957746390746</v>
      </c>
      <c r="G129" s="115">
        <f t="shared" si="6"/>
        <v>0.40697096891353302</v>
      </c>
      <c r="H129" s="116">
        <f t="shared" si="7"/>
        <v>0.38327578563083853</v>
      </c>
      <c r="I129" s="40"/>
      <c r="J129" s="10"/>
      <c r="K129" s="16"/>
      <c r="L129" s="36"/>
      <c r="M129" s="36"/>
      <c r="N129" s="36"/>
      <c r="O129" s="36"/>
      <c r="P129" s="36"/>
      <c r="Q129" s="36"/>
      <c r="R129" s="36"/>
      <c r="S129" s="36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</row>
    <row r="130" spans="1:111" x14ac:dyDescent="0.2">
      <c r="A130" s="10"/>
      <c r="B130" s="38"/>
      <c r="C130" s="39"/>
      <c r="D130" s="39"/>
      <c r="E130" s="83">
        <f t="shared" si="9"/>
        <v>5.8499999999999872</v>
      </c>
      <c r="F130" s="112">
        <f t="shared" si="8"/>
        <v>543.11954224468514</v>
      </c>
      <c r="G130" s="115">
        <f t="shared" si="6"/>
        <v>0.41112512468050899</v>
      </c>
      <c r="H130" s="116">
        <f t="shared" si="7"/>
        <v>0.38584012377626165</v>
      </c>
      <c r="I130" s="40"/>
      <c r="J130" s="10"/>
      <c r="K130" s="16"/>
      <c r="L130" s="36"/>
      <c r="M130" s="36"/>
      <c r="N130" s="36"/>
      <c r="O130" s="36"/>
      <c r="P130" s="36"/>
      <c r="Q130" s="36"/>
      <c r="R130" s="36"/>
      <c r="S130" s="36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</row>
    <row r="131" spans="1:111" x14ac:dyDescent="0.2">
      <c r="A131" s="10"/>
      <c r="B131" s="38"/>
      <c r="C131" s="39"/>
      <c r="D131" s="39"/>
      <c r="E131" s="83">
        <f t="shared" si="9"/>
        <v>5.899999999999987</v>
      </c>
      <c r="F131" s="112">
        <f t="shared" si="8"/>
        <v>545.70880280351946</v>
      </c>
      <c r="G131" s="115">
        <f t="shared" si="6"/>
        <v>0.41527501657399879</v>
      </c>
      <c r="H131" s="116">
        <f t="shared" si="7"/>
        <v>0.38839379940840735</v>
      </c>
      <c r="I131" s="40"/>
      <c r="J131" s="10"/>
      <c r="K131" s="16"/>
      <c r="L131" s="36"/>
      <c r="M131" s="36"/>
      <c r="N131" s="36"/>
      <c r="O131" s="36"/>
      <c r="P131" s="36"/>
      <c r="Q131" s="36"/>
      <c r="R131" s="36"/>
      <c r="S131" s="36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</row>
    <row r="132" spans="1:111" x14ac:dyDescent="0.2">
      <c r="A132" s="10"/>
      <c r="B132" s="38"/>
      <c r="C132" s="39"/>
      <c r="D132" s="39"/>
      <c r="E132" s="83">
        <f t="shared" si="9"/>
        <v>5.9499999999999869</v>
      </c>
      <c r="F132" s="112">
        <f t="shared" si="8"/>
        <v>548.29612677742955</v>
      </c>
      <c r="G132" s="115">
        <f t="shared" si="6"/>
        <v>0.41941960362572273</v>
      </c>
      <c r="H132" s="116">
        <f t="shared" si="7"/>
        <v>0.39093685686198654</v>
      </c>
      <c r="I132" s="40"/>
      <c r="J132" s="10"/>
      <c r="K132" s="16"/>
      <c r="L132" s="36"/>
      <c r="M132" s="36"/>
      <c r="N132" s="36"/>
      <c r="O132" s="36"/>
      <c r="P132" s="36"/>
      <c r="Q132" s="36"/>
      <c r="R132" s="36"/>
      <c r="S132" s="36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</row>
    <row r="133" spans="1:111" x14ac:dyDescent="0.2">
      <c r="A133" s="10"/>
      <c r="B133" s="38"/>
      <c r="C133" s="39"/>
      <c r="D133" s="39"/>
      <c r="E133" s="83">
        <f t="shared" si="9"/>
        <v>5.9999999999999867</v>
      </c>
      <c r="F133" s="112">
        <f t="shared" si="8"/>
        <v>550.88028168677886</v>
      </c>
      <c r="G133" s="115">
        <f t="shared" si="6"/>
        <v>0.42355784449935241</v>
      </c>
      <c r="H133" s="116">
        <f t="shared" si="7"/>
        <v>0.39346934028736591</v>
      </c>
      <c r="I133" s="40"/>
      <c r="J133" s="10"/>
      <c r="K133" s="16"/>
      <c r="L133" s="36"/>
      <c r="M133" s="36"/>
      <c r="N133" s="36"/>
      <c r="O133" s="36"/>
      <c r="P133" s="36"/>
      <c r="Q133" s="36"/>
      <c r="R133" s="36"/>
      <c r="S133" s="36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</row>
    <row r="134" spans="1:111" x14ac:dyDescent="0.2">
      <c r="A134" s="10"/>
      <c r="B134" s="38"/>
      <c r="C134" s="39"/>
      <c r="D134" s="39"/>
      <c r="E134" s="83">
        <f t="shared" si="9"/>
        <v>6.0499999999999865</v>
      </c>
      <c r="F134" s="112">
        <f t="shared" si="8"/>
        <v>553.4600352203779</v>
      </c>
      <c r="G134" s="115">
        <f t="shared" si="6"/>
        <v>0.42768869845909907</v>
      </c>
      <c r="H134" s="116">
        <f t="shared" si="7"/>
        <v>0.39599129365133523</v>
      </c>
      <c r="I134" s="40"/>
      <c r="J134" s="10"/>
      <c r="K134" s="16"/>
      <c r="L134" s="36"/>
      <c r="M134" s="36"/>
      <c r="N134" s="36"/>
      <c r="O134" s="36"/>
      <c r="P134" s="36"/>
      <c r="Q134" s="36"/>
      <c r="R134" s="36"/>
      <c r="S134" s="36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</row>
    <row r="135" spans="1:111" x14ac:dyDescent="0.2">
      <c r="A135" s="10"/>
      <c r="B135" s="38"/>
      <c r="C135" s="39"/>
      <c r="D135" s="39"/>
      <c r="E135" s="83">
        <f t="shared" si="9"/>
        <v>6.0999999999999863</v>
      </c>
      <c r="F135" s="112">
        <f t="shared" si="8"/>
        <v>556.03415495561103</v>
      </c>
      <c r="G135" s="115">
        <f t="shared" si="6"/>
        <v>0.43181112599111948</v>
      </c>
      <c r="H135" s="116">
        <f t="shared" si="7"/>
        <v>0.3985027607378705</v>
      </c>
      <c r="I135" s="40"/>
      <c r="J135" s="10"/>
      <c r="K135" s="11"/>
      <c r="L135" s="11"/>
      <c r="M135" s="11"/>
      <c r="N135" s="11"/>
      <c r="O135" s="11"/>
      <c r="P135" s="11"/>
      <c r="Q135" s="11"/>
      <c r="R135" s="11"/>
      <c r="S135" s="11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</row>
    <row r="136" spans="1:111" x14ac:dyDescent="0.2">
      <c r="A136" s="10"/>
      <c r="B136" s="38"/>
      <c r="C136" s="39"/>
      <c r="D136" s="39"/>
      <c r="E136" s="83">
        <f t="shared" si="9"/>
        <v>6.1499999999999861</v>
      </c>
      <c r="F136" s="112">
        <f t="shared" si="8"/>
        <v>558.60140842400449</v>
      </c>
      <c r="G136" s="115">
        <f t="shared" si="6"/>
        <v>0.43592408960085394</v>
      </c>
      <c r="H136" s="116">
        <f t="shared" si="7"/>
        <v>0.40100378514889401</v>
      </c>
      <c r="I136" s="40"/>
      <c r="J136" s="10"/>
      <c r="K136" s="11"/>
      <c r="L136" s="11"/>
      <c r="M136" s="11"/>
      <c r="N136" s="11"/>
      <c r="O136" s="11"/>
      <c r="P136" s="11"/>
      <c r="Q136" s="11"/>
      <c r="R136" s="11"/>
      <c r="S136" s="11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</row>
    <row r="137" spans="1:111" x14ac:dyDescent="0.2">
      <c r="A137" s="10"/>
      <c r="B137" s="38"/>
      <c r="C137" s="39"/>
      <c r="D137" s="39"/>
      <c r="E137" s="83">
        <f t="shared" si="9"/>
        <v>6.199999999999986</v>
      </c>
      <c r="F137" s="112">
        <f t="shared" si="8"/>
        <v>561.16056336827148</v>
      </c>
      <c r="G137" s="115">
        <f t="shared" si="6"/>
        <v>0.44002655469783825</v>
      </c>
      <c r="H137" s="116">
        <f t="shared" si="7"/>
        <v>0.40349441030503097</v>
      </c>
      <c r="I137" s="40"/>
      <c r="J137" s="10"/>
      <c r="K137" s="16"/>
      <c r="L137" s="36"/>
      <c r="M137" s="36"/>
      <c r="N137" s="36"/>
      <c r="O137" s="36"/>
      <c r="P137" s="36"/>
      <c r="Q137" s="36"/>
      <c r="R137" s="36"/>
      <c r="S137" s="36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</row>
    <row r="138" spans="1:111" x14ac:dyDescent="0.2">
      <c r="A138" s="10"/>
      <c r="B138" s="38"/>
      <c r="C138" s="39"/>
      <c r="D138" s="39"/>
      <c r="E138" s="83">
        <f t="shared" si="9"/>
        <v>6.2499999999999858</v>
      </c>
      <c r="F138" s="112">
        <f t="shared" si="8"/>
        <v>563.71038733049795</v>
      </c>
      <c r="G138" s="115">
        <f t="shared" si="6"/>
        <v>0.44411749006949197</v>
      </c>
      <c r="H138" s="116">
        <f t="shared" si="7"/>
        <v>0.40597467944636423</v>
      </c>
      <c r="I138" s="40"/>
      <c r="J138" s="10"/>
      <c r="K138" s="16"/>
      <c r="L138" s="36"/>
      <c r="M138" s="36"/>
      <c r="N138" s="36"/>
      <c r="O138" s="36"/>
      <c r="P138" s="36"/>
      <c r="Q138" s="36"/>
      <c r="R138" s="36"/>
      <c r="S138" s="36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</row>
    <row r="139" spans="1:111" x14ac:dyDescent="0.2">
      <c r="A139" s="10"/>
      <c r="B139" s="38"/>
      <c r="C139" s="39"/>
      <c r="D139" s="39"/>
      <c r="E139" s="83">
        <f t="shared" si="9"/>
        <v>6.2999999999999856</v>
      </c>
      <c r="F139" s="112">
        <f t="shared" si="8"/>
        <v>566.2496479159247</v>
      </c>
      <c r="G139" s="115">
        <f t="shared" si="6"/>
        <v>0.44819586872016026</v>
      </c>
      <c r="H139" s="116">
        <f t="shared" si="7"/>
        <v>0.40844463563318423</v>
      </c>
      <c r="I139" s="40"/>
      <c r="J139" s="10"/>
      <c r="K139" s="16"/>
      <c r="L139" s="36"/>
      <c r="M139" s="36"/>
      <c r="N139" s="36"/>
      <c r="O139" s="36"/>
      <c r="P139" s="36"/>
      <c r="Q139" s="36"/>
      <c r="R139" s="36"/>
      <c r="S139" s="36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</row>
    <row r="140" spans="1:111" x14ac:dyDescent="0.2">
      <c r="A140" s="10"/>
      <c r="B140" s="38"/>
      <c r="C140" s="39"/>
      <c r="D140" s="39"/>
      <c r="E140" s="83">
        <f t="shared" si="9"/>
        <v>6.3499999999999854</v>
      </c>
      <c r="F140" s="112">
        <f t="shared" si="8"/>
        <v>568.77711272979229</v>
      </c>
      <c r="G140" s="115">
        <f t="shared" ref="G140:G203" si="10">1-EXP(-E140*F140/(1-RecoveryRate)/10000)</f>
        <v>0.45226066849541291</v>
      </c>
      <c r="H140" s="116">
        <f t="shared" ref="H140:H203" si="11">1-EXP(-E140*fiveyrspread/(1-RecoveryRate)/10000)</f>
        <v>0.41090432174673674</v>
      </c>
      <c r="I140" s="40"/>
      <c r="J140" s="10"/>
      <c r="K140" s="16"/>
      <c r="L140" s="36"/>
      <c r="M140" s="36"/>
      <c r="N140" s="36"/>
      <c r="O140" s="36"/>
      <c r="P140" s="36"/>
      <c r="Q140" s="36"/>
      <c r="R140" s="36"/>
      <c r="S140" s="36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</row>
    <row r="141" spans="1:111" x14ac:dyDescent="0.2">
      <c r="A141" s="10"/>
      <c r="B141" s="38"/>
      <c r="C141" s="39"/>
      <c r="D141" s="39"/>
      <c r="E141" s="83">
        <f t="shared" si="9"/>
        <v>6.3999999999999853</v>
      </c>
      <c r="F141" s="112">
        <f t="shared" ref="F141:F204" si="12">CubicSpline($B$34:$B$38,$C$11:$C$15,E141)</f>
        <v>571.29154925988098</v>
      </c>
      <c r="G141" s="115">
        <f t="shared" si="10"/>
        <v>0.45631087264817516</v>
      </c>
      <c r="H141" s="116">
        <f t="shared" si="11"/>
        <v>0.41335378048996751</v>
      </c>
      <c r="I141" s="40"/>
      <c r="J141" s="10"/>
      <c r="K141" s="16"/>
      <c r="L141" s="36"/>
      <c r="M141" s="36"/>
      <c r="N141" s="36"/>
      <c r="O141" s="36"/>
      <c r="P141" s="36"/>
      <c r="Q141" s="36"/>
      <c r="R141" s="36"/>
      <c r="S141" s="36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</row>
    <row r="142" spans="1:111" x14ac:dyDescent="0.2">
      <c r="A142" s="10"/>
      <c r="B142" s="38"/>
      <c r="C142" s="39"/>
      <c r="D142" s="39"/>
      <c r="E142" s="83">
        <f t="shared" si="9"/>
        <v>6.4499999999999851</v>
      </c>
      <c r="F142" s="112">
        <f t="shared" si="12"/>
        <v>573.79172533941323</v>
      </c>
      <c r="G142" s="115">
        <f t="shared" si="10"/>
        <v>0.46034547071423926</v>
      </c>
      <c r="H142" s="116">
        <f t="shared" si="11"/>
        <v>0.41579305438826353</v>
      </c>
      <c r="I142" s="40"/>
      <c r="J142" s="10"/>
      <c r="K142" s="16"/>
      <c r="L142" s="36"/>
      <c r="M142" s="36"/>
      <c r="N142" s="36"/>
      <c r="O142" s="36"/>
      <c r="P142" s="36"/>
      <c r="Q142" s="36"/>
      <c r="R142" s="36"/>
      <c r="S142" s="36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</row>
    <row r="143" spans="1:111" x14ac:dyDescent="0.2">
      <c r="A143" s="10"/>
      <c r="B143" s="38"/>
      <c r="C143" s="39"/>
      <c r="D143" s="39"/>
      <c r="E143" s="83">
        <f t="shared" si="9"/>
        <v>6.4999999999999849</v>
      </c>
      <c r="F143" s="112">
        <f t="shared" si="12"/>
        <v>576.27640846371196</v>
      </c>
      <c r="G143" s="115">
        <f t="shared" si="10"/>
        <v>0.464363458695364</v>
      </c>
      <c r="H143" s="116">
        <f t="shared" si="11"/>
        <v>0.41822218579019099</v>
      </c>
      <c r="I143" s="40"/>
      <c r="J143" s="10"/>
      <c r="K143" s="16"/>
      <c r="L143" s="36"/>
      <c r="M143" s="36"/>
      <c r="N143" s="36"/>
      <c r="O143" s="36"/>
      <c r="P143" s="36"/>
      <c r="Q143" s="36"/>
      <c r="R143" s="36"/>
      <c r="S143" s="36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</row>
    <row r="144" spans="1:111" x14ac:dyDescent="0.2">
      <c r="A144" s="10"/>
      <c r="B144" s="38"/>
      <c r="C144" s="39"/>
      <c r="D144" s="39"/>
      <c r="E144" s="83">
        <f t="shared" si="9"/>
        <v>6.5499999999999847</v>
      </c>
      <c r="F144" s="112">
        <f t="shared" si="12"/>
        <v>578.74436623801785</v>
      </c>
      <c r="G144" s="115">
        <f t="shared" si="10"/>
        <v>0.46836383986989039</v>
      </c>
      <c r="H144" s="116">
        <f t="shared" si="11"/>
        <v>0.4206412168682313</v>
      </c>
      <c r="I144" s="40"/>
      <c r="J144" s="10"/>
      <c r="K144" s="16"/>
      <c r="L144" s="36"/>
      <c r="M144" s="36"/>
      <c r="N144" s="36"/>
      <c r="O144" s="36"/>
      <c r="P144" s="36"/>
      <c r="Q144" s="36"/>
      <c r="R144" s="36"/>
      <c r="S144" s="36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</row>
    <row r="145" spans="1:111" x14ac:dyDescent="0.2">
      <c r="A145" s="10"/>
      <c r="B145" s="10"/>
      <c r="C145" s="10"/>
      <c r="D145" s="10"/>
      <c r="E145" s="83">
        <f t="shared" si="9"/>
        <v>6.5999999999999845</v>
      </c>
      <c r="F145" s="112">
        <f t="shared" si="12"/>
        <v>581.19436619677333</v>
      </c>
      <c r="G145" s="115">
        <f t="shared" si="10"/>
        <v>0.47234562521007639</v>
      </c>
      <c r="H145" s="116">
        <f t="shared" si="11"/>
        <v>0.42305018961951257</v>
      </c>
      <c r="I145" s="10"/>
      <c r="J145" s="10"/>
      <c r="K145" s="16"/>
      <c r="L145" s="36"/>
      <c r="M145" s="36"/>
      <c r="N145" s="36"/>
      <c r="O145" s="36"/>
      <c r="P145" s="36"/>
      <c r="Q145" s="36"/>
      <c r="R145" s="36"/>
      <c r="S145" s="36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</row>
    <row r="146" spans="1:111" x14ac:dyDescent="0.2">
      <c r="A146" s="10"/>
      <c r="B146" s="10"/>
      <c r="C146" s="10"/>
      <c r="D146" s="10"/>
      <c r="E146" s="83">
        <f t="shared" ref="E146:E209" si="13">E145+0.05</f>
        <v>6.6499999999999844</v>
      </c>
      <c r="F146" s="112">
        <f t="shared" si="12"/>
        <v>583.62517608455266</v>
      </c>
      <c r="G146" s="115">
        <f t="shared" si="10"/>
        <v>0.47630783403796861</v>
      </c>
      <c r="H146" s="116">
        <f t="shared" si="11"/>
        <v>0.42544914586653881</v>
      </c>
      <c r="I146" s="10"/>
      <c r="J146" s="10"/>
      <c r="K146" s="16"/>
      <c r="L146" s="36"/>
      <c r="M146" s="36"/>
      <c r="N146" s="36"/>
      <c r="O146" s="36"/>
      <c r="P146" s="36"/>
      <c r="Q146" s="36"/>
      <c r="R146" s="36"/>
      <c r="S146" s="36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</row>
    <row r="147" spans="1:111" x14ac:dyDescent="0.2">
      <c r="A147" s="10"/>
      <c r="B147" s="10"/>
      <c r="C147" s="10"/>
      <c r="D147" s="10"/>
      <c r="E147" s="83">
        <f t="shared" si="13"/>
        <v>6.6999999999999842</v>
      </c>
      <c r="F147" s="112">
        <f t="shared" si="12"/>
        <v>586.035563363341</v>
      </c>
      <c r="G147" s="115">
        <f t="shared" si="10"/>
        <v>0.48024949420246754</v>
      </c>
      <c r="H147" s="116">
        <f t="shared" si="11"/>
        <v>0.42783812725791626</v>
      </c>
      <c r="I147" s="10"/>
      <c r="J147" s="10"/>
      <c r="K147" s="16"/>
      <c r="L147" s="36"/>
      <c r="M147" s="36"/>
      <c r="N147" s="36"/>
      <c r="O147" s="36"/>
      <c r="P147" s="36"/>
      <c r="Q147" s="36"/>
      <c r="R147" s="36"/>
      <c r="S147" s="36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</row>
    <row r="148" spans="1:111" x14ac:dyDescent="0.2">
      <c r="A148" s="10"/>
      <c r="B148" s="10"/>
      <c r="C148" s="10"/>
      <c r="D148" s="10"/>
      <c r="E148" s="83">
        <f t="shared" si="13"/>
        <v>6.749999999999984</v>
      </c>
      <c r="F148" s="112">
        <f t="shared" si="12"/>
        <v>588.42429578676354</v>
      </c>
      <c r="G148" s="115">
        <f t="shared" si="10"/>
        <v>0.48416964284547315</v>
      </c>
      <c r="H148" s="116">
        <f t="shared" si="11"/>
        <v>0.43021717526907621</v>
      </c>
      <c r="I148" s="10"/>
      <c r="J148" s="10"/>
      <c r="K148" s="16"/>
      <c r="L148" s="36"/>
      <c r="M148" s="36"/>
      <c r="N148" s="36"/>
      <c r="O148" s="36"/>
      <c r="P148" s="36"/>
      <c r="Q148" s="36"/>
      <c r="R148" s="36"/>
      <c r="S148" s="36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</row>
    <row r="149" spans="1:111" x14ac:dyDescent="0.2">
      <c r="A149" s="10"/>
      <c r="B149" s="10"/>
      <c r="C149" s="10"/>
      <c r="D149" s="10"/>
      <c r="E149" s="83">
        <f t="shared" si="13"/>
        <v>6.7999999999999838</v>
      </c>
      <c r="F149" s="112">
        <f t="shared" si="12"/>
        <v>590.79014084798052</v>
      </c>
      <c r="G149" s="115">
        <f t="shared" si="10"/>
        <v>0.4880673264837565</v>
      </c>
      <c r="H149" s="116">
        <f t="shared" si="11"/>
        <v>0.4325863312029955</v>
      </c>
      <c r="I149" s="10"/>
      <c r="J149" s="10"/>
      <c r="K149" s="16"/>
      <c r="L149" s="36"/>
      <c r="M149" s="36"/>
      <c r="N149" s="36"/>
      <c r="O149" s="36"/>
      <c r="P149" s="36"/>
      <c r="Q149" s="36"/>
      <c r="R149" s="36"/>
      <c r="S149" s="36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</row>
    <row r="150" spans="1:111" x14ac:dyDescent="0.2">
      <c r="A150" s="10"/>
      <c r="B150" s="10"/>
      <c r="C150" s="10"/>
      <c r="D150" s="10"/>
      <c r="E150" s="83">
        <f t="shared" si="13"/>
        <v>6.8499999999999837</v>
      </c>
      <c r="F150" s="112">
        <f t="shared" si="12"/>
        <v>593.13186619019643</v>
      </c>
      <c r="G150" s="115">
        <f t="shared" si="10"/>
        <v>0.49194160161864287</v>
      </c>
      <c r="H150" s="116">
        <f t="shared" si="11"/>
        <v>0.43494563619091287</v>
      </c>
      <c r="I150" s="10"/>
      <c r="J150" s="10"/>
      <c r="K150" s="16"/>
      <c r="L150" s="36"/>
      <c r="M150" s="36"/>
      <c r="N150" s="36"/>
      <c r="O150" s="36"/>
      <c r="P150" s="36"/>
      <c r="Q150" s="36"/>
      <c r="R150" s="36"/>
      <c r="S150" s="36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</row>
    <row r="151" spans="1:111" x14ac:dyDescent="0.2">
      <c r="A151" s="10"/>
      <c r="B151" s="10"/>
      <c r="C151" s="10"/>
      <c r="D151" s="10"/>
      <c r="E151" s="83">
        <f t="shared" si="13"/>
        <v>6.8999999999999835</v>
      </c>
      <c r="F151" s="112">
        <f t="shared" si="12"/>
        <v>595.44823943906636</v>
      </c>
      <c r="G151" s="115">
        <f t="shared" si="10"/>
        <v>0.49579153497897643</v>
      </c>
      <c r="H151" s="116">
        <f t="shared" si="11"/>
        <v>0.43729513119304353</v>
      </c>
      <c r="I151" s="10"/>
      <c r="J151" s="10"/>
      <c r="K151" s="16"/>
      <c r="L151" s="36"/>
      <c r="M151" s="36"/>
      <c r="N151" s="36"/>
      <c r="O151" s="36"/>
      <c r="P151" s="36"/>
      <c r="Q151" s="36"/>
      <c r="R151" s="36"/>
      <c r="S151" s="36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</row>
    <row r="152" spans="1:111" x14ac:dyDescent="0.2">
      <c r="A152" s="10"/>
      <c r="B152" s="10"/>
      <c r="C152" s="10"/>
      <c r="D152" s="10"/>
      <c r="E152" s="83">
        <f t="shared" si="13"/>
        <v>6.9499999999999833</v>
      </c>
      <c r="F152" s="112">
        <f t="shared" si="12"/>
        <v>597.73802817051035</v>
      </c>
      <c r="G152" s="115">
        <f t="shared" si="10"/>
        <v>0.49961620381126659</v>
      </c>
      <c r="H152" s="116">
        <f t="shared" si="11"/>
        <v>0.43963485699929061</v>
      </c>
      <c r="I152" s="10"/>
      <c r="J152" s="10"/>
      <c r="K152" s="16"/>
      <c r="L152" s="36"/>
      <c r="M152" s="36"/>
      <c r="N152" s="36"/>
      <c r="O152" s="36"/>
      <c r="P152" s="36"/>
      <c r="Q152" s="36"/>
      <c r="R152" s="36"/>
      <c r="S152" s="36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</row>
    <row r="153" spans="1:111" x14ac:dyDescent="0.2">
      <c r="A153" s="10"/>
      <c r="B153" s="10"/>
      <c r="C153" s="10"/>
      <c r="D153" s="10"/>
      <c r="E153" s="83">
        <f t="shared" si="13"/>
        <v>6.9999999999999831</v>
      </c>
      <c r="F153" s="112">
        <f t="shared" si="12"/>
        <v>599.99999999999602</v>
      </c>
      <c r="G153" s="115">
        <f t="shared" si="10"/>
        <v>0.50341469620858725</v>
      </c>
      <c r="H153" s="116">
        <f t="shared" si="11"/>
        <v>0.44196485422995213</v>
      </c>
      <c r="I153" s="10"/>
      <c r="J153" s="10"/>
      <c r="K153" s="16"/>
      <c r="L153" s="36"/>
      <c r="M153" s="36"/>
      <c r="N153" s="36"/>
      <c r="O153" s="36"/>
      <c r="P153" s="36"/>
      <c r="Q153" s="36"/>
      <c r="R153" s="36"/>
      <c r="S153" s="36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</row>
    <row r="154" spans="1:111" x14ac:dyDescent="0.2">
      <c r="A154" s="10"/>
      <c r="B154" s="10"/>
      <c r="C154" s="10"/>
      <c r="D154" s="10"/>
      <c r="E154" s="83">
        <f t="shared" si="13"/>
        <v>7.0499999999999829</v>
      </c>
      <c r="F154" s="112">
        <f t="shared" si="12"/>
        <v>602.23320811194617</v>
      </c>
      <c r="G154" s="115">
        <f t="shared" si="10"/>
        <v>0.50718627669334215</v>
      </c>
      <c r="H154" s="116">
        <f t="shared" si="11"/>
        <v>0.44428516333642776</v>
      </c>
      <c r="I154" s="10"/>
      <c r="J154" s="10"/>
      <c r="K154" s="16"/>
      <c r="L154" s="36"/>
      <c r="M154" s="36"/>
      <c r="N154" s="36"/>
      <c r="O154" s="36"/>
      <c r="P154" s="36"/>
      <c r="Q154" s="36"/>
      <c r="R154" s="36"/>
      <c r="S154" s="36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</row>
    <row r="155" spans="1:111" x14ac:dyDescent="0.2">
      <c r="A155" s="10"/>
      <c r="B155" s="10"/>
      <c r="C155" s="10"/>
      <c r="D155" s="10"/>
      <c r="E155" s="83">
        <f t="shared" si="13"/>
        <v>7.0999999999999828</v>
      </c>
      <c r="F155" s="112">
        <f t="shared" si="12"/>
        <v>604.43785300993261</v>
      </c>
      <c r="G155" s="115">
        <f t="shared" si="10"/>
        <v>0.51093088469122194</v>
      </c>
      <c r="H155" s="116">
        <f t="shared" si="11"/>
        <v>0.44659582460191993</v>
      </c>
      <c r="I155" s="10"/>
      <c r="J155" s="10"/>
      <c r="K155" s="16"/>
      <c r="L155" s="36"/>
      <c r="M155" s="36"/>
      <c r="N155" s="36"/>
      <c r="O155" s="36"/>
      <c r="P155" s="36"/>
      <c r="Q155" s="36"/>
      <c r="R155" s="36"/>
      <c r="S155" s="36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</row>
    <row r="156" spans="1:111" x14ac:dyDescent="0.2">
      <c r="A156" s="10"/>
      <c r="B156" s="10"/>
      <c r="C156" s="10"/>
      <c r="D156" s="10"/>
      <c r="E156" s="83">
        <f t="shared" si="13"/>
        <v>7.1499999999999826</v>
      </c>
      <c r="F156" s="112">
        <f t="shared" si="12"/>
        <v>606.61441500104263</v>
      </c>
      <c r="G156" s="115">
        <f t="shared" si="10"/>
        <v>0.51464863085112156</v>
      </c>
      <c r="H156" s="116">
        <f t="shared" si="11"/>
        <v>0.44889687814213364</v>
      </c>
      <c r="I156" s="10"/>
      <c r="J156" s="10"/>
      <c r="K156" s="16"/>
      <c r="L156" s="36"/>
      <c r="M156" s="36"/>
      <c r="N156" s="36"/>
      <c r="O156" s="36"/>
      <c r="P156" s="36"/>
      <c r="Q156" s="36"/>
      <c r="R156" s="36"/>
      <c r="S156" s="36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</row>
    <row r="157" spans="1:111" x14ac:dyDescent="0.2">
      <c r="A157" s="10"/>
      <c r="B157" s="10"/>
      <c r="C157" s="10"/>
      <c r="D157" s="10"/>
      <c r="E157" s="83">
        <f t="shared" si="13"/>
        <v>7.1999999999999824</v>
      </c>
      <c r="F157" s="112">
        <f t="shared" si="12"/>
        <v>608.76338021357549</v>
      </c>
      <c r="G157" s="115">
        <f t="shared" si="10"/>
        <v>0.5183396379005627</v>
      </c>
      <c r="H157" s="116">
        <f t="shared" si="11"/>
        <v>0.45118836390597272</v>
      </c>
      <c r="I157" s="10"/>
      <c r="J157" s="10"/>
      <c r="K157" s="16"/>
      <c r="L157" s="36"/>
      <c r="M157" s="36"/>
      <c r="N157" s="36"/>
      <c r="O157" s="36"/>
      <c r="P157" s="36"/>
      <c r="Q157" s="36"/>
      <c r="R157" s="36"/>
      <c r="S157" s="36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</row>
    <row r="158" spans="1:111" x14ac:dyDescent="0.2">
      <c r="A158" s="10"/>
      <c r="B158" s="10"/>
      <c r="C158" s="10"/>
      <c r="D158" s="10"/>
      <c r="E158" s="83">
        <f t="shared" si="13"/>
        <v>7.2499999999999822</v>
      </c>
      <c r="F158" s="112">
        <f t="shared" si="12"/>
        <v>610.88523280108586</v>
      </c>
      <c r="G158" s="115">
        <f t="shared" si="10"/>
        <v>0.5220040358057767</v>
      </c>
      <c r="H158" s="116">
        <f t="shared" si="11"/>
        <v>0.45347032167623391</v>
      </c>
      <c r="I158" s="10"/>
      <c r="J158" s="10"/>
      <c r="K158" s="16"/>
      <c r="L158" s="36"/>
      <c r="M158" s="36"/>
      <c r="N158" s="36"/>
      <c r="O158" s="36"/>
      <c r="P158" s="36"/>
      <c r="Q158" s="36"/>
      <c r="R158" s="36"/>
      <c r="S158" s="36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</row>
    <row r="159" spans="1:111" x14ac:dyDescent="0.2">
      <c r="A159" s="10"/>
      <c r="B159" s="10"/>
      <c r="C159" s="10"/>
      <c r="D159" s="10"/>
      <c r="E159" s="83">
        <f t="shared" si="13"/>
        <v>7.2999999999999821</v>
      </c>
      <c r="F159" s="112">
        <f t="shared" si="12"/>
        <v>612.98045840273187</v>
      </c>
      <c r="G159" s="115">
        <f t="shared" si="10"/>
        <v>0.52564196345314551</v>
      </c>
      <c r="H159" s="116">
        <f t="shared" si="11"/>
        <v>0.4557427910702968</v>
      </c>
      <c r="I159" s="10"/>
      <c r="J159" s="10"/>
      <c r="K159" s="16"/>
      <c r="L159" s="36"/>
      <c r="M159" s="36"/>
      <c r="N159" s="36"/>
      <c r="O159" s="36"/>
      <c r="P159" s="36"/>
      <c r="Q159" s="36"/>
      <c r="R159" s="36"/>
      <c r="S159" s="36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</row>
    <row r="160" spans="1:111" x14ac:dyDescent="0.2">
      <c r="A160" s="10"/>
      <c r="B160" s="10"/>
      <c r="C160" s="10"/>
      <c r="D160" s="10"/>
      <c r="E160" s="83">
        <f t="shared" si="13"/>
        <v>7.3499999999999819</v>
      </c>
      <c r="F160" s="112">
        <f t="shared" si="12"/>
        <v>615.04953810822667</v>
      </c>
      <c r="G160" s="115">
        <f t="shared" si="10"/>
        <v>0.52925356485277464</v>
      </c>
      <c r="H160" s="116">
        <f t="shared" si="11"/>
        <v>0.4580058115408121</v>
      </c>
      <c r="I160" s="10"/>
      <c r="J160" s="10"/>
      <c r="K160" s="16"/>
      <c r="L160" s="36"/>
      <c r="M160" s="36"/>
      <c r="N160" s="36"/>
      <c r="O160" s="36"/>
      <c r="P160" s="36"/>
      <c r="Q160" s="36"/>
      <c r="R160" s="36"/>
      <c r="S160" s="36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</row>
    <row r="161" spans="1:111" x14ac:dyDescent="0.2">
      <c r="A161" s="10"/>
      <c r="B161" s="10"/>
      <c r="C161" s="10"/>
      <c r="D161" s="10"/>
      <c r="E161" s="83">
        <f t="shared" si="13"/>
        <v>7.3999999999999817</v>
      </c>
      <c r="F161" s="112">
        <f t="shared" si="12"/>
        <v>617.09295765109368</v>
      </c>
      <c r="G161" s="115">
        <f t="shared" si="10"/>
        <v>0.53283899414017177</v>
      </c>
      <c r="H161" s="116">
        <f t="shared" si="11"/>
        <v>0.46025942237638651</v>
      </c>
      <c r="I161" s="10"/>
      <c r="J161" s="10"/>
      <c r="K161" s="16"/>
      <c r="L161" s="36"/>
      <c r="M161" s="36"/>
      <c r="N161" s="36"/>
      <c r="O161" s="36"/>
      <c r="P161" s="36"/>
      <c r="Q161" s="36"/>
      <c r="R161" s="36"/>
      <c r="S161" s="36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</row>
    <row r="162" spans="1:111" x14ac:dyDescent="0.2">
      <c r="A162" s="10"/>
      <c r="B162" s="10"/>
      <c r="C162" s="10"/>
      <c r="D162" s="10"/>
      <c r="E162" s="83">
        <f t="shared" si="13"/>
        <v>7.4499999999999815</v>
      </c>
      <c r="F162" s="112">
        <f t="shared" si="12"/>
        <v>619.11120118488759</v>
      </c>
      <c r="G162" s="115">
        <f t="shared" si="10"/>
        <v>0.53639841168267499</v>
      </c>
      <c r="H162" s="116">
        <f t="shared" si="11"/>
        <v>0.46250366270226484</v>
      </c>
      <c r="I162" s="10"/>
      <c r="J162" s="10"/>
      <c r="K162" s="16"/>
      <c r="L162" s="36"/>
      <c r="M162" s="36"/>
      <c r="N162" s="36"/>
      <c r="O162" s="36"/>
      <c r="P162" s="36"/>
      <c r="Q162" s="36"/>
      <c r="R162" s="36"/>
      <c r="S162" s="36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</row>
    <row r="163" spans="1:111" x14ac:dyDescent="0.2">
      <c r="A163" s="10"/>
      <c r="B163" s="10"/>
      <c r="C163" s="10"/>
      <c r="D163" s="10"/>
      <c r="E163" s="83">
        <f t="shared" si="13"/>
        <v>7.4999999999999813</v>
      </c>
      <c r="F163" s="112">
        <f t="shared" si="12"/>
        <v>621.10475398862013</v>
      </c>
      <c r="G163" s="115">
        <f t="shared" si="10"/>
        <v>0.53993198534615949</v>
      </c>
      <c r="H163" s="116">
        <f t="shared" si="11"/>
        <v>0.46473857148100894</v>
      </c>
      <c r="I163" s="10"/>
      <c r="J163" s="10"/>
      <c r="K163" s="16"/>
      <c r="L163" s="36"/>
      <c r="M163" s="36"/>
      <c r="N163" s="36"/>
      <c r="O163" s="36"/>
      <c r="P163" s="36"/>
      <c r="Q163" s="36"/>
      <c r="R163" s="36"/>
      <c r="S163" s="36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</row>
    <row r="164" spans="1:111" x14ac:dyDescent="0.2">
      <c r="A164" s="10"/>
      <c r="B164" s="10"/>
      <c r="C164" s="10"/>
      <c r="D164" s="10"/>
      <c r="E164" s="83">
        <f t="shared" si="13"/>
        <v>7.5499999999999812</v>
      </c>
      <c r="F164" s="112">
        <f t="shared" si="12"/>
        <v>623.07409787922302</v>
      </c>
      <c r="G164" s="115">
        <f t="shared" si="10"/>
        <v>0.54343988756950024</v>
      </c>
      <c r="H164" s="116">
        <f t="shared" si="11"/>
        <v>0.4669641875131747</v>
      </c>
      <c r="I164" s="10"/>
      <c r="J164" s="10"/>
      <c r="K164" s="16"/>
      <c r="L164" s="36"/>
      <c r="M164" s="36"/>
      <c r="N164" s="36"/>
      <c r="O164" s="36"/>
      <c r="P164" s="36"/>
      <c r="Q164" s="36"/>
      <c r="R164" s="36"/>
      <c r="S164" s="36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</row>
    <row r="165" spans="1:111" x14ac:dyDescent="0.2">
      <c r="A165" s="10"/>
      <c r="B165" s="10"/>
      <c r="C165" s="10"/>
      <c r="D165" s="10"/>
      <c r="E165" s="83">
        <f t="shared" si="13"/>
        <v>7.599999999999981</v>
      </c>
      <c r="F165" s="112">
        <f t="shared" si="12"/>
        <v>625.01971822314761</v>
      </c>
      <c r="G165" s="115">
        <f t="shared" si="10"/>
        <v>0.54692229911828272</v>
      </c>
      <c r="H165" s="116">
        <f t="shared" si="11"/>
        <v>0.46918054943798526</v>
      </c>
      <c r="I165" s="10"/>
      <c r="J165" s="10"/>
      <c r="K165" s="16"/>
      <c r="L165" s="36"/>
      <c r="M165" s="36"/>
      <c r="N165" s="36"/>
      <c r="O165" s="36"/>
      <c r="P165" s="36"/>
      <c r="Q165" s="36"/>
      <c r="R165" s="36"/>
      <c r="S165" s="36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</row>
    <row r="166" spans="1:111" x14ac:dyDescent="0.2">
      <c r="A166" s="10"/>
      <c r="B166" s="10"/>
      <c r="C166" s="10"/>
      <c r="D166" s="10"/>
      <c r="E166" s="83">
        <f t="shared" si="13"/>
        <v>7.6499999999999808</v>
      </c>
      <c r="F166" s="112">
        <f t="shared" si="12"/>
        <v>626.94212969152636</v>
      </c>
      <c r="G166" s="115">
        <f t="shared" si="10"/>
        <v>0.55037942356449854</v>
      </c>
      <c r="H166" s="116">
        <f t="shared" si="11"/>
        <v>0.47138769573400185</v>
      </c>
      <c r="I166" s="10"/>
      <c r="J166" s="10"/>
      <c r="K166" s="16"/>
      <c r="L166" s="36"/>
      <c r="M166" s="36"/>
      <c r="N166" s="36"/>
      <c r="O166" s="36"/>
      <c r="P166" s="36"/>
      <c r="Q166" s="36"/>
      <c r="R166" s="36"/>
      <c r="S166" s="36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</row>
    <row r="167" spans="1:111" x14ac:dyDescent="0.2">
      <c r="A167" s="10"/>
      <c r="B167" s="10"/>
      <c r="C167" s="10"/>
      <c r="D167" s="10"/>
      <c r="E167" s="83">
        <f t="shared" si="13"/>
        <v>7.6999999999999806</v>
      </c>
      <c r="F167" s="112">
        <f t="shared" si="12"/>
        <v>628.84172567819428</v>
      </c>
      <c r="G167" s="115">
        <f t="shared" si="10"/>
        <v>0.55381140069715318</v>
      </c>
      <c r="H167" s="116">
        <f t="shared" si="11"/>
        <v>0.47358566471979202</v>
      </c>
      <c r="I167" s="10"/>
      <c r="J167" s="10"/>
      <c r="K167" s="16"/>
      <c r="L167" s="36"/>
      <c r="M167" s="36"/>
      <c r="N167" s="36"/>
      <c r="O167" s="36"/>
      <c r="P167" s="36"/>
      <c r="Q167" s="36"/>
      <c r="R167" s="36"/>
      <c r="S167" s="36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</row>
    <row r="168" spans="1:111" x14ac:dyDescent="0.2">
      <c r="A168" s="10"/>
      <c r="B168" s="10"/>
      <c r="C168" s="10"/>
      <c r="D168" s="10"/>
      <c r="E168" s="83">
        <f t="shared" si="13"/>
        <v>7.7499999999999805</v>
      </c>
      <c r="F168" s="112">
        <f t="shared" si="12"/>
        <v>630.71908022462867</v>
      </c>
      <c r="G168" s="115">
        <f t="shared" si="10"/>
        <v>0.55721847934508428</v>
      </c>
      <c r="H168" s="116">
        <f t="shared" si="11"/>
        <v>0.47577449455459475</v>
      </c>
      <c r="I168" s="10"/>
      <c r="J168" s="10"/>
      <c r="K168" s="16"/>
      <c r="L168" s="36"/>
      <c r="M168" s="36"/>
      <c r="N168" s="36"/>
      <c r="O168" s="36"/>
      <c r="P168" s="36"/>
      <c r="Q168" s="36"/>
      <c r="R168" s="36"/>
      <c r="S168" s="36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</row>
    <row r="169" spans="1:111" x14ac:dyDescent="0.2">
      <c r="A169" s="10"/>
      <c r="B169" s="10"/>
      <c r="C169" s="10"/>
      <c r="D169" s="10"/>
      <c r="E169" s="83">
        <f t="shared" si="13"/>
        <v>7.7999999999999803</v>
      </c>
      <c r="F169" s="112">
        <f t="shared" si="12"/>
        <v>632.57464784033414</v>
      </c>
      <c r="G169" s="115">
        <f t="shared" si="10"/>
        <v>0.56060084503604513</v>
      </c>
      <c r="H169" s="116">
        <f t="shared" si="11"/>
        <v>0.47795422323898307</v>
      </c>
      <c r="I169" s="10"/>
      <c r="J169" s="10"/>
      <c r="K169" s="16"/>
      <c r="L169" s="36"/>
      <c r="M169" s="36"/>
      <c r="N169" s="36"/>
      <c r="O169" s="36"/>
      <c r="P169" s="36"/>
      <c r="Q169" s="36"/>
      <c r="R169" s="36"/>
      <c r="S169" s="36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</row>
    <row r="170" spans="1:111" x14ac:dyDescent="0.2">
      <c r="A170" s="10"/>
      <c r="B170" s="10"/>
      <c r="C170" s="10"/>
      <c r="D170" s="10"/>
      <c r="E170" s="83">
        <f t="shared" si="13"/>
        <v>7.8499999999999801</v>
      </c>
      <c r="F170" s="112">
        <f t="shared" si="12"/>
        <v>634.40888272314987</v>
      </c>
      <c r="G170" s="115">
        <f t="shared" si="10"/>
        <v>0.56395868817494532</v>
      </c>
      <c r="H170" s="116">
        <f t="shared" si="11"/>
        <v>0.48012488861552349</v>
      </c>
      <c r="I170" s="10"/>
      <c r="J170" s="10"/>
      <c r="K170" s="16"/>
      <c r="L170" s="36"/>
      <c r="M170" s="36"/>
      <c r="N170" s="36"/>
      <c r="O170" s="36"/>
      <c r="P170" s="36"/>
      <c r="Q170" s="36"/>
      <c r="R170" s="36"/>
      <c r="S170" s="36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</row>
    <row r="171" spans="1:111" x14ac:dyDescent="0.2">
      <c r="A171" s="10"/>
      <c r="B171" s="10"/>
      <c r="C171" s="10"/>
      <c r="D171" s="10"/>
      <c r="E171" s="83">
        <f t="shared" si="13"/>
        <v>7.8999999999999799</v>
      </c>
      <c r="F171" s="112">
        <f t="shared" si="12"/>
        <v>636.22235938205131</v>
      </c>
      <c r="G171" s="115">
        <f t="shared" si="10"/>
        <v>0.56729227252995318</v>
      </c>
      <c r="H171" s="116">
        <f t="shared" si="11"/>
        <v>0.48228652836943342</v>
      </c>
      <c r="I171" s="10"/>
      <c r="J171" s="10"/>
      <c r="K171" s="16"/>
      <c r="L171" s="36"/>
      <c r="M171" s="36"/>
      <c r="N171" s="36"/>
      <c r="O171" s="36"/>
      <c r="P171" s="36"/>
      <c r="Q171" s="36"/>
      <c r="R171" s="36"/>
      <c r="S171" s="36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</row>
    <row r="172" spans="1:111" x14ac:dyDescent="0.2">
      <c r="A172" s="10"/>
      <c r="B172" s="10"/>
      <c r="C172" s="10"/>
      <c r="D172" s="10"/>
      <c r="E172" s="83">
        <f t="shared" si="13"/>
        <v>7.9499999999999797</v>
      </c>
      <c r="F172" s="112">
        <f t="shared" si="12"/>
        <v>638.01547105504062</v>
      </c>
      <c r="G172" s="115">
        <f t="shared" si="10"/>
        <v>0.57060176294551701</v>
      </c>
      <c r="H172" s="116">
        <f t="shared" si="11"/>
        <v>0.48443918002923503</v>
      </c>
      <c r="I172" s="10"/>
      <c r="J172" s="10"/>
      <c r="K172" s="16"/>
      <c r="L172" s="36"/>
      <c r="M172" s="36"/>
      <c r="N172" s="36"/>
      <c r="O172" s="36"/>
      <c r="P172" s="36"/>
      <c r="Q172" s="36"/>
      <c r="R172" s="36"/>
      <c r="S172" s="36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</row>
    <row r="173" spans="1:111" x14ac:dyDescent="0.2">
      <c r="A173" s="10"/>
      <c r="B173" s="10"/>
      <c r="C173" s="10"/>
      <c r="D173" s="10"/>
      <c r="E173" s="83">
        <f t="shared" si="13"/>
        <v>7.9999999999999796</v>
      </c>
      <c r="F173" s="112">
        <f t="shared" si="12"/>
        <v>639.78873241325027</v>
      </c>
      <c r="G173" s="115">
        <f t="shared" si="10"/>
        <v>0.57388739779595233</v>
      </c>
      <c r="H173" s="116">
        <f t="shared" si="11"/>
        <v>0.48658288096740721</v>
      </c>
      <c r="I173" s="10"/>
      <c r="J173" s="10"/>
      <c r="K173" s="16"/>
      <c r="L173" s="36"/>
      <c r="M173" s="36"/>
      <c r="N173" s="36"/>
      <c r="O173" s="36"/>
      <c r="P173" s="36"/>
      <c r="Q173" s="36"/>
      <c r="R173" s="36"/>
      <c r="S173" s="36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</row>
    <row r="174" spans="1:111" x14ac:dyDescent="0.2">
      <c r="A174" s="10"/>
      <c r="B174" s="10"/>
      <c r="C174" s="10"/>
      <c r="D174" s="10"/>
      <c r="E174" s="83">
        <f t="shared" si="13"/>
        <v>8.0499999999999794</v>
      </c>
      <c r="F174" s="112">
        <f t="shared" si="12"/>
        <v>641.54262788813617</v>
      </c>
      <c r="G174" s="115">
        <f t="shared" si="10"/>
        <v>0.5771494022289394</v>
      </c>
      <c r="H174" s="116">
        <f t="shared" si="11"/>
        <v>0.48871766840103359</v>
      </c>
      <c r="I174" s="10"/>
      <c r="J174" s="10"/>
      <c r="K174" s="16"/>
      <c r="L174" s="36"/>
      <c r="M174" s="36"/>
      <c r="N174" s="36"/>
      <c r="O174" s="36"/>
      <c r="P174" s="36"/>
      <c r="Q174" s="36"/>
      <c r="R174" s="36"/>
      <c r="S174" s="36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</row>
    <row r="175" spans="1:111" x14ac:dyDescent="0.2">
      <c r="A175" s="10"/>
      <c r="B175" s="10"/>
      <c r="C175" s="10"/>
      <c r="D175" s="10"/>
      <c r="E175" s="83">
        <f t="shared" si="13"/>
        <v>8.0999999999999801</v>
      </c>
      <c r="F175" s="112">
        <f t="shared" si="12"/>
        <v>643.27764101078844</v>
      </c>
      <c r="G175" s="115">
        <f t="shared" si="10"/>
        <v>0.58038800468330165</v>
      </c>
      <c r="H175" s="116">
        <f t="shared" si="11"/>
        <v>0.49084357939245005</v>
      </c>
      <c r="I175" s="10"/>
      <c r="J175" s="10"/>
      <c r="K175" s="16"/>
      <c r="L175" s="36"/>
      <c r="M175" s="36"/>
      <c r="N175" s="36"/>
      <c r="O175" s="36"/>
      <c r="P175" s="36"/>
      <c r="Q175" s="36"/>
      <c r="R175" s="36"/>
      <c r="S175" s="36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</row>
    <row r="176" spans="1:111" x14ac:dyDescent="0.2">
      <c r="A176" s="10"/>
      <c r="B176" s="10"/>
      <c r="C176" s="10"/>
      <c r="D176" s="10"/>
      <c r="E176" s="83">
        <f t="shared" si="13"/>
        <v>8.1499999999999808</v>
      </c>
      <c r="F176" s="112">
        <f t="shared" si="12"/>
        <v>644.9942562810561</v>
      </c>
      <c r="G176" s="115">
        <f t="shared" si="10"/>
        <v>0.58360343773164958</v>
      </c>
      <c r="H176" s="116">
        <f t="shared" si="11"/>
        <v>0.49296065084988661</v>
      </c>
      <c r="I176" s="10"/>
      <c r="J176" s="10"/>
      <c r="K176" s="16"/>
      <c r="L176" s="36"/>
      <c r="M176" s="36"/>
      <c r="N176" s="36"/>
      <c r="O176" s="36"/>
      <c r="P176" s="36"/>
      <c r="Q176" s="36"/>
      <c r="R176" s="36"/>
      <c r="S176" s="36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</row>
    <row r="177" spans="1:111" x14ac:dyDescent="0.2">
      <c r="A177" s="10"/>
      <c r="B177" s="10"/>
      <c r="C177" s="10"/>
      <c r="D177" s="10"/>
      <c r="E177" s="83">
        <f t="shared" si="13"/>
        <v>8.1999999999999815</v>
      </c>
      <c r="F177" s="112">
        <f t="shared" si="12"/>
        <v>646.69295785249358</v>
      </c>
      <c r="G177" s="115">
        <f t="shared" si="10"/>
        <v>0.58679593712012823</v>
      </c>
      <c r="H177" s="116">
        <f t="shared" si="11"/>
        <v>0.4950689195281095</v>
      </c>
      <c r="I177" s="10"/>
      <c r="J177" s="10"/>
      <c r="K177" s="16"/>
      <c r="L177" s="36"/>
      <c r="M177" s="36"/>
      <c r="N177" s="36"/>
      <c r="O177" s="36"/>
      <c r="P177" s="36"/>
      <c r="Q177" s="36"/>
      <c r="R177" s="36"/>
      <c r="S177" s="36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</row>
    <row r="178" spans="1:111" x14ac:dyDescent="0.2">
      <c r="A178" s="10"/>
      <c r="B178" s="10"/>
      <c r="C178" s="10"/>
      <c r="D178" s="10"/>
      <c r="E178" s="83">
        <f t="shared" si="13"/>
        <v>8.2499999999999822</v>
      </c>
      <c r="F178" s="112">
        <f t="shared" si="12"/>
        <v>648.3742299002987</v>
      </c>
      <c r="G178" s="115">
        <f t="shared" si="10"/>
        <v>0.58996574176876937</v>
      </c>
      <c r="H178" s="116">
        <f t="shared" si="11"/>
        <v>0.49716842202905831</v>
      </c>
      <c r="I178" s="10"/>
      <c r="J178" s="10"/>
      <c r="K178" s="16"/>
      <c r="L178" s="36"/>
      <c r="M178" s="36"/>
      <c r="N178" s="36"/>
      <c r="O178" s="36"/>
      <c r="P178" s="36"/>
      <c r="Q178" s="36"/>
      <c r="R178" s="36"/>
      <c r="S178" s="36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</row>
    <row r="179" spans="1:111" x14ac:dyDescent="0.2">
      <c r="A179" s="10"/>
      <c r="B179" s="10"/>
      <c r="C179" s="10"/>
      <c r="D179" s="10"/>
      <c r="E179" s="83">
        <f t="shared" si="13"/>
        <v>8.2999999999999829</v>
      </c>
      <c r="F179" s="112">
        <f t="shared" si="12"/>
        <v>650.03855647500325</v>
      </c>
      <c r="G179" s="115">
        <f t="shared" si="10"/>
        <v>0.59311309348516406</v>
      </c>
      <c r="H179" s="116">
        <f t="shared" si="11"/>
        <v>0.49925919480248204</v>
      </c>
      <c r="I179" s="10"/>
      <c r="J179" s="10"/>
      <c r="K179" s="16"/>
      <c r="L179" s="36"/>
      <c r="M179" s="36"/>
      <c r="N179" s="36"/>
      <c r="O179" s="36"/>
      <c r="P179" s="36"/>
      <c r="Q179" s="36"/>
      <c r="R179" s="36"/>
      <c r="S179" s="36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</row>
    <row r="180" spans="1:111" x14ac:dyDescent="0.2">
      <c r="A180" s="10"/>
      <c r="B180" s="10"/>
      <c r="C180" s="10"/>
      <c r="D180" s="10"/>
      <c r="E180" s="83">
        <f t="shared" si="13"/>
        <v>8.3499999999999837</v>
      </c>
      <c r="F180" s="112">
        <f t="shared" si="12"/>
        <v>651.68642181327232</v>
      </c>
      <c r="G180" s="115">
        <f t="shared" si="10"/>
        <v>0.59623823694042866</v>
      </c>
      <c r="H180" s="116">
        <f t="shared" si="11"/>
        <v>0.50134127414657148</v>
      </c>
      <c r="I180" s="10"/>
      <c r="J180" s="10"/>
      <c r="K180" s="16"/>
      <c r="L180" s="36"/>
      <c r="M180" s="36"/>
      <c r="N180" s="36"/>
      <c r="O180" s="36"/>
      <c r="P180" s="36"/>
      <c r="Q180" s="36"/>
      <c r="R180" s="36"/>
      <c r="S180" s="36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</row>
    <row r="181" spans="1:111" x14ac:dyDescent="0.2">
      <c r="A181" s="10"/>
      <c r="B181" s="10"/>
      <c r="C181" s="10"/>
      <c r="D181" s="10"/>
      <c r="E181" s="83">
        <f t="shared" si="13"/>
        <v>8.3999999999999844</v>
      </c>
      <c r="F181" s="112">
        <f t="shared" si="12"/>
        <v>653.31834058623883</v>
      </c>
      <c r="G181" s="115">
        <f t="shared" si="10"/>
        <v>0.59934143644049265</v>
      </c>
      <c r="H181" s="116">
        <f t="shared" si="11"/>
        <v>0.50341469620858981</v>
      </c>
      <c r="I181" s="10"/>
      <c r="J181" s="10"/>
      <c r="K181" s="16"/>
      <c r="L181" s="36"/>
      <c r="M181" s="36"/>
      <c r="N181" s="36"/>
      <c r="O181" s="36"/>
      <c r="P181" s="36"/>
      <c r="Q181" s="36"/>
      <c r="R181" s="36"/>
      <c r="S181" s="36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</row>
    <row r="182" spans="1:111" x14ac:dyDescent="0.2">
      <c r="A182" s="10"/>
      <c r="B182" s="10"/>
      <c r="C182" s="10"/>
      <c r="D182" s="10"/>
      <c r="E182" s="83">
        <f t="shared" si="13"/>
        <v>8.4499999999999851</v>
      </c>
      <c r="F182" s="112">
        <f t="shared" si="12"/>
        <v>654.93470518781169</v>
      </c>
      <c r="G182" s="115">
        <f t="shared" si="10"/>
        <v>0.60242289007686745</v>
      </c>
      <c r="H182" s="116">
        <f t="shared" si="11"/>
        <v>0.5054794969855001</v>
      </c>
      <c r="I182" s="10"/>
      <c r="J182" s="10"/>
      <c r="K182" s="16"/>
      <c r="L182" s="36"/>
      <c r="M182" s="36"/>
      <c r="N182" s="36"/>
      <c r="O182" s="36"/>
      <c r="P182" s="36"/>
      <c r="Q182" s="36"/>
      <c r="R182" s="36"/>
      <c r="S182" s="36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</row>
    <row r="183" spans="1:111" x14ac:dyDescent="0.2">
      <c r="A183" s="10"/>
      <c r="B183" s="10"/>
      <c r="C183" s="10"/>
      <c r="D183" s="10"/>
      <c r="E183" s="83">
        <f t="shared" si="13"/>
        <v>8.4999999999999858</v>
      </c>
      <c r="F183" s="112">
        <f t="shared" si="12"/>
        <v>656.53609168529181</v>
      </c>
      <c r="G183" s="115">
        <f t="shared" si="10"/>
        <v>0.60548290115441517</v>
      </c>
      <c r="H183" s="116">
        <f t="shared" si="11"/>
        <v>0.50753571232458972</v>
      </c>
      <c r="I183" s="10"/>
      <c r="J183" s="10"/>
      <c r="K183" s="16"/>
      <c r="L183" s="36"/>
      <c r="M183" s="36"/>
      <c r="N183" s="36"/>
      <c r="O183" s="36"/>
      <c r="P183" s="36"/>
      <c r="Q183" s="36"/>
      <c r="R183" s="36"/>
      <c r="S183" s="36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</row>
    <row r="184" spans="1:111" x14ac:dyDescent="0.2">
      <c r="A184" s="10"/>
      <c r="B184" s="10"/>
      <c r="C184" s="10"/>
      <c r="D184" s="10"/>
      <c r="E184" s="83">
        <f t="shared" si="13"/>
        <v>8.5499999999999865</v>
      </c>
      <c r="F184" s="112">
        <f t="shared" si="12"/>
        <v>658.12295340688627</v>
      </c>
      <c r="G184" s="115">
        <f t="shared" si="10"/>
        <v>0.60852170613670331</v>
      </c>
      <c r="H184" s="116">
        <f t="shared" si="11"/>
        <v>0.50958337792409347</v>
      </c>
      <c r="I184" s="10"/>
      <c r="J184" s="10"/>
      <c r="K184" s="16"/>
      <c r="L184" s="36"/>
      <c r="M184" s="36"/>
      <c r="N184" s="36"/>
      <c r="O184" s="36"/>
      <c r="P184" s="36"/>
      <c r="Q184" s="36"/>
      <c r="R184" s="36"/>
      <c r="S184" s="36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</row>
    <row r="185" spans="1:111" x14ac:dyDescent="0.2">
      <c r="A185" s="10"/>
      <c r="B185" s="10"/>
      <c r="C185" s="10"/>
      <c r="D185" s="10"/>
      <c r="E185" s="83">
        <f t="shared" si="13"/>
        <v>8.5999999999999872</v>
      </c>
      <c r="F185" s="112">
        <f t="shared" si="12"/>
        <v>659.6957747922753</v>
      </c>
      <c r="G185" s="115">
        <f t="shared" si="10"/>
        <v>0.61153956076444671</v>
      </c>
      <c r="H185" s="116">
        <f t="shared" si="11"/>
        <v>0.51162252933381236</v>
      </c>
      <c r="I185" s="10"/>
      <c r="J185" s="10"/>
      <c r="K185" s="16"/>
      <c r="L185" s="36"/>
      <c r="M185" s="36"/>
      <c r="N185" s="36"/>
      <c r="O185" s="36"/>
      <c r="P185" s="36"/>
      <c r="Q185" s="36"/>
      <c r="R185" s="36"/>
      <c r="S185" s="36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</row>
    <row r="186" spans="1:111" x14ac:dyDescent="0.2">
      <c r="A186" s="10"/>
      <c r="B186" s="10"/>
      <c r="C186" s="10"/>
      <c r="D186" s="10"/>
      <c r="E186" s="83">
        <f t="shared" si="13"/>
        <v>8.6499999999999879</v>
      </c>
      <c r="F186" s="112">
        <f t="shared" si="12"/>
        <v>661.25503966127224</v>
      </c>
      <c r="G186" s="115">
        <f t="shared" si="10"/>
        <v>0.61453672208578469</v>
      </c>
      <c r="H186" s="116">
        <f t="shared" si="11"/>
        <v>0.51365320195573227</v>
      </c>
      <c r="I186" s="10"/>
      <c r="J186" s="10"/>
      <c r="K186" s="16"/>
      <c r="L186" s="36"/>
      <c r="M186" s="36"/>
      <c r="N186" s="36"/>
      <c r="O186" s="36"/>
      <c r="P186" s="36"/>
      <c r="Q186" s="36"/>
      <c r="R186" s="36"/>
      <c r="S186" s="36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</row>
    <row r="187" spans="1:111" x14ac:dyDescent="0.2">
      <c r="A187" s="10"/>
      <c r="B187" s="10"/>
      <c r="C187" s="10"/>
      <c r="D187" s="10"/>
      <c r="E187" s="83">
        <f t="shared" si="13"/>
        <v>8.6999999999999886</v>
      </c>
      <c r="F187" s="112">
        <f t="shared" si="12"/>
        <v>662.80123255225124</v>
      </c>
      <c r="G187" s="115">
        <f t="shared" si="10"/>
        <v>0.61751344903165006</v>
      </c>
      <c r="H187" s="116">
        <f t="shared" si="11"/>
        <v>0.51567543104463709</v>
      </c>
      <c r="I187" s="10"/>
      <c r="J187" s="10"/>
      <c r="K187" s="16"/>
      <c r="L187" s="36"/>
      <c r="M187" s="36"/>
      <c r="N187" s="36"/>
      <c r="O187" s="36"/>
      <c r="P187" s="36"/>
      <c r="Q187" s="36"/>
      <c r="R187" s="36"/>
      <c r="S187" s="36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</row>
    <row r="188" spans="1:111" x14ac:dyDescent="0.2">
      <c r="A188" s="10"/>
      <c r="B188" s="10"/>
      <c r="C188" s="10"/>
      <c r="D188" s="10"/>
      <c r="E188" s="83">
        <f t="shared" si="13"/>
        <v>8.7499999999999893</v>
      </c>
      <c r="F188" s="112">
        <f t="shared" si="12"/>
        <v>664.33483718979437</v>
      </c>
      <c r="G188" s="115">
        <f t="shared" si="10"/>
        <v>0.62047000139704989</v>
      </c>
      <c r="H188" s="116">
        <f t="shared" si="11"/>
        <v>0.51768925170872149</v>
      </c>
      <c r="I188" s="10"/>
      <c r="J188" s="10"/>
      <c r="K188" s="16"/>
      <c r="L188" s="36"/>
      <c r="M188" s="36"/>
      <c r="N188" s="36"/>
      <c r="O188" s="36"/>
      <c r="P188" s="36"/>
      <c r="Q188" s="36"/>
      <c r="R188" s="36"/>
      <c r="S188" s="36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</row>
    <row r="189" spans="1:111" x14ac:dyDescent="0.2">
      <c r="A189" s="10"/>
      <c r="B189" s="10"/>
      <c r="C189" s="10"/>
      <c r="D189" s="10"/>
      <c r="E189" s="83">
        <f t="shared" si="13"/>
        <v>8.7999999999999901</v>
      </c>
      <c r="F189" s="112">
        <f t="shared" si="12"/>
        <v>665.85633820404405</v>
      </c>
      <c r="G189" s="115">
        <f t="shared" si="10"/>
        <v>0.62340664063225637</v>
      </c>
      <c r="H189" s="116">
        <f t="shared" si="11"/>
        <v>0.51969469891020026</v>
      </c>
      <c r="I189" s="10"/>
      <c r="J189" s="10"/>
      <c r="K189" s="16"/>
      <c r="L189" s="36"/>
      <c r="M189" s="36"/>
      <c r="N189" s="36"/>
      <c r="O189" s="36"/>
      <c r="P189" s="36"/>
      <c r="Q189" s="36"/>
      <c r="R189" s="36"/>
      <c r="S189" s="36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</row>
    <row r="190" spans="1:111" x14ac:dyDescent="0.2">
      <c r="A190" s="10"/>
      <c r="B190" s="10"/>
      <c r="C190" s="10"/>
      <c r="D190" s="10"/>
      <c r="E190" s="83">
        <f t="shared" si="13"/>
        <v>8.8499999999999908</v>
      </c>
      <c r="F190" s="112">
        <f t="shared" si="12"/>
        <v>667.36621923127723</v>
      </c>
      <c r="G190" s="115">
        <f t="shared" si="10"/>
        <v>0.62632362863111224</v>
      </c>
      <c r="H190" s="116">
        <f t="shared" si="11"/>
        <v>0.52169180746591559</v>
      </c>
      <c r="I190" s="10"/>
      <c r="J190" s="10"/>
      <c r="K190" s="16"/>
      <c r="L190" s="36"/>
      <c r="M190" s="36"/>
      <c r="N190" s="36"/>
      <c r="O190" s="36"/>
      <c r="P190" s="36"/>
      <c r="Q190" s="36"/>
      <c r="R190" s="36"/>
      <c r="S190" s="36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</row>
    <row r="191" spans="1:111" x14ac:dyDescent="0.2">
      <c r="A191" s="10"/>
      <c r="B191" s="10"/>
      <c r="C191" s="10"/>
      <c r="D191" s="10"/>
      <c r="E191" s="83">
        <f t="shared" si="13"/>
        <v>8.8999999999999915</v>
      </c>
      <c r="F191" s="112">
        <f t="shared" si="12"/>
        <v>668.86496498647853</v>
      </c>
      <c r="G191" s="115">
        <f t="shared" si="10"/>
        <v>0.62922122872046127</v>
      </c>
      <c r="H191" s="116">
        <f t="shared" si="11"/>
        <v>0.52368061204794114</v>
      </c>
      <c r="I191" s="10"/>
      <c r="J191" s="10"/>
      <c r="K191" s="16"/>
      <c r="L191" s="36"/>
      <c r="M191" s="36"/>
      <c r="N191" s="36"/>
      <c r="O191" s="36"/>
      <c r="P191" s="36"/>
      <c r="Q191" s="36"/>
      <c r="R191" s="36"/>
      <c r="S191" s="36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</row>
    <row r="192" spans="1:111" x14ac:dyDescent="0.2">
      <c r="A192" s="10"/>
      <c r="B192" s="10"/>
      <c r="C192" s="10"/>
      <c r="D192" s="10"/>
      <c r="E192" s="83">
        <f t="shared" si="13"/>
        <v>8.9499999999999922</v>
      </c>
      <c r="F192" s="112">
        <f t="shared" si="12"/>
        <v>670.35305902454547</v>
      </c>
      <c r="G192" s="115">
        <f t="shared" si="10"/>
        <v>0.6320997042721257</v>
      </c>
      <c r="H192" s="116">
        <f t="shared" si="11"/>
        <v>0.52566114718418422</v>
      </c>
      <c r="I192" s="10"/>
      <c r="J192" s="10"/>
      <c r="K192" s="16"/>
      <c r="L192" s="36"/>
      <c r="M192" s="36"/>
      <c r="N192" s="36"/>
      <c r="O192" s="36"/>
      <c r="P192" s="36"/>
      <c r="Q192" s="36"/>
      <c r="R192" s="36"/>
      <c r="S192" s="36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</row>
    <row r="193" spans="1:111" x14ac:dyDescent="0.2">
      <c r="A193" s="10"/>
      <c r="B193" s="10"/>
      <c r="C193" s="10"/>
      <c r="D193" s="10"/>
      <c r="E193" s="83">
        <f t="shared" si="13"/>
        <v>8.9999999999999929</v>
      </c>
      <c r="F193" s="112">
        <f t="shared" si="12"/>
        <v>671.8309861383791</v>
      </c>
      <c r="G193" s="115">
        <f t="shared" si="10"/>
        <v>0.63495931987311116</v>
      </c>
      <c r="H193" s="116">
        <f t="shared" si="11"/>
        <v>0.52763344725898498</v>
      </c>
      <c r="I193" s="10"/>
      <c r="J193" s="10"/>
      <c r="K193" s="16"/>
      <c r="L193" s="36"/>
      <c r="M193" s="36"/>
      <c r="N193" s="36"/>
      <c r="O193" s="36"/>
      <c r="P193" s="36"/>
      <c r="Q193" s="36"/>
      <c r="R193" s="36"/>
      <c r="S193" s="36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</row>
    <row r="194" spans="1:111" x14ac:dyDescent="0.2">
      <c r="A194" s="10"/>
      <c r="B194" s="10"/>
      <c r="C194" s="10"/>
      <c r="D194" s="10"/>
      <c r="E194" s="83">
        <f t="shared" si="13"/>
        <v>9.0499999999999936</v>
      </c>
      <c r="F194" s="112">
        <f t="shared" si="12"/>
        <v>673.29922980842377</v>
      </c>
      <c r="G194" s="115">
        <f t="shared" si="10"/>
        <v>0.63780033977780648</v>
      </c>
      <c r="H194" s="116">
        <f t="shared" si="11"/>
        <v>0.52959754651371393</v>
      </c>
      <c r="I194" s="10"/>
      <c r="J194" s="10"/>
      <c r="K194" s="16"/>
      <c r="L194" s="36"/>
      <c r="M194" s="36"/>
      <c r="N194" s="36"/>
      <c r="O194" s="36"/>
      <c r="P194" s="36"/>
      <c r="Q194" s="36"/>
      <c r="R194" s="36"/>
      <c r="S194" s="36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</row>
    <row r="195" spans="1:111" x14ac:dyDescent="0.2">
      <c r="A195" s="10"/>
      <c r="B195" s="10"/>
      <c r="C195" s="10"/>
      <c r="D195" s="10"/>
      <c r="E195" s="83">
        <f t="shared" si="13"/>
        <v>9.0999999999999943</v>
      </c>
      <c r="F195" s="112">
        <f t="shared" si="12"/>
        <v>674.75827489857045</v>
      </c>
      <c r="G195" s="115">
        <f t="shared" si="10"/>
        <v>0.64062302924162406</v>
      </c>
      <c r="H195" s="116">
        <f t="shared" si="11"/>
        <v>0.53155347904736572</v>
      </c>
      <c r="I195" s="10"/>
      <c r="J195" s="10"/>
      <c r="K195" s="16"/>
      <c r="L195" s="36"/>
      <c r="M195" s="36"/>
      <c r="N195" s="36"/>
      <c r="O195" s="36"/>
      <c r="P195" s="36"/>
      <c r="Q195" s="36"/>
      <c r="R195" s="36"/>
      <c r="S195" s="36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</row>
    <row r="196" spans="1:111" x14ac:dyDescent="0.2">
      <c r="A196" s="10"/>
      <c r="B196" s="10"/>
      <c r="C196" s="10"/>
      <c r="D196" s="10"/>
      <c r="E196" s="83">
        <f t="shared" si="13"/>
        <v>9.149999999999995</v>
      </c>
      <c r="F196" s="112">
        <f t="shared" si="12"/>
        <v>676.20860482173657</v>
      </c>
      <c r="G196" s="115">
        <f t="shared" si="10"/>
        <v>0.64342765282986236</v>
      </c>
      <c r="H196" s="116">
        <f t="shared" si="11"/>
        <v>0.53350127881715137</v>
      </c>
      <c r="I196" s="10"/>
      <c r="J196" s="10"/>
      <c r="K196" s="16"/>
      <c r="L196" s="36"/>
      <c r="M196" s="36"/>
      <c r="N196" s="36"/>
      <c r="O196" s="36"/>
      <c r="P196" s="36"/>
      <c r="Q196" s="36"/>
      <c r="R196" s="36"/>
      <c r="S196" s="36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</row>
    <row r="197" spans="1:111" x14ac:dyDescent="0.2">
      <c r="A197" s="10"/>
      <c r="B197" s="10"/>
      <c r="C197" s="10"/>
      <c r="D197" s="10"/>
      <c r="E197" s="83">
        <f t="shared" si="13"/>
        <v>9.1999999999999957</v>
      </c>
      <c r="F197" s="112">
        <f t="shared" si="12"/>
        <v>677.65071976466652</v>
      </c>
      <c r="G197" s="115">
        <f t="shared" si="10"/>
        <v>0.64621448417504257</v>
      </c>
      <c r="H197" s="116">
        <f t="shared" si="11"/>
        <v>0.53544097963908843</v>
      </c>
      <c r="I197" s="10"/>
      <c r="J197" s="10"/>
      <c r="K197" s="16"/>
      <c r="L197" s="36"/>
      <c r="M197" s="36"/>
      <c r="N197" s="36"/>
      <c r="O197" s="36"/>
      <c r="P197" s="36"/>
      <c r="Q197" s="36"/>
      <c r="R197" s="36"/>
      <c r="S197" s="36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</row>
    <row r="198" spans="1:111" x14ac:dyDescent="0.2">
      <c r="A198" s="10"/>
      <c r="B198" s="10"/>
      <c r="C198" s="10"/>
      <c r="D198" s="10"/>
      <c r="E198" s="83">
        <f t="shared" si="13"/>
        <v>9.2499999999999964</v>
      </c>
      <c r="F198" s="112">
        <f t="shared" si="12"/>
        <v>679.08505730330853</v>
      </c>
      <c r="G198" s="115">
        <f t="shared" si="10"/>
        <v>0.64898376277148673</v>
      </c>
      <c r="H198" s="116">
        <f t="shared" si="11"/>
        <v>0.53737261518858659</v>
      </c>
      <c r="I198" s="10"/>
      <c r="J198" s="10"/>
      <c r="K198" s="16"/>
      <c r="L198" s="36"/>
      <c r="M198" s="36"/>
      <c r="N198" s="36"/>
      <c r="O198" s="36"/>
      <c r="P198" s="36"/>
      <c r="Q198" s="36"/>
      <c r="R198" s="36"/>
      <c r="S198" s="36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</row>
    <row r="199" spans="1:111" x14ac:dyDescent="0.2">
      <c r="A199" s="10"/>
      <c r="B199" s="10"/>
      <c r="C199" s="10"/>
      <c r="D199" s="10"/>
      <c r="E199" s="83">
        <f t="shared" si="13"/>
        <v>9.2999999999999972</v>
      </c>
      <c r="F199" s="112">
        <f t="shared" si="12"/>
        <v>680.51214798182457</v>
      </c>
      <c r="G199" s="115">
        <f t="shared" si="10"/>
        <v>0.65173577824164064</v>
      </c>
      <c r="H199" s="116">
        <f t="shared" si="11"/>
        <v>0.53929621900103397</v>
      </c>
      <c r="I199" s="10"/>
      <c r="J199" s="10"/>
      <c r="K199" s="16"/>
      <c r="L199" s="36"/>
      <c r="M199" s="36"/>
      <c r="N199" s="36"/>
      <c r="O199" s="36"/>
      <c r="P199" s="36"/>
      <c r="Q199" s="36"/>
      <c r="R199" s="36"/>
      <c r="S199" s="36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</row>
    <row r="200" spans="1:111" x14ac:dyDescent="0.2">
      <c r="A200" s="10"/>
      <c r="B200" s="10"/>
      <c r="C200" s="10"/>
      <c r="D200" s="10"/>
      <c r="E200" s="83">
        <f t="shared" si="13"/>
        <v>9.3499999999999979</v>
      </c>
      <c r="F200" s="112">
        <f t="shared" si="12"/>
        <v>681.93246049196466</v>
      </c>
      <c r="G200" s="115">
        <f t="shared" si="10"/>
        <v>0.65447078621904908</v>
      </c>
      <c r="H200" s="116">
        <f t="shared" si="11"/>
        <v>0.5412118244723787</v>
      </c>
      <c r="I200" s="10"/>
      <c r="J200" s="10"/>
      <c r="K200" s="16"/>
      <c r="L200" s="36"/>
      <c r="M200" s="36"/>
      <c r="N200" s="36"/>
      <c r="O200" s="36"/>
      <c r="P200" s="36"/>
      <c r="Q200" s="36"/>
      <c r="R200" s="36"/>
      <c r="S200" s="36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</row>
    <row r="201" spans="1:111" x14ac:dyDescent="0.2">
      <c r="A201" s="10"/>
      <c r="B201" s="10"/>
      <c r="C201" s="10"/>
      <c r="D201" s="10"/>
      <c r="E201" s="83">
        <f t="shared" si="13"/>
        <v>9.3999999999999986</v>
      </c>
      <c r="F201" s="112">
        <f t="shared" si="12"/>
        <v>683.34647898858168</v>
      </c>
      <c r="G201" s="115">
        <f t="shared" si="10"/>
        <v>0.65718905016131823</v>
      </c>
      <c r="H201" s="116">
        <f t="shared" si="11"/>
        <v>0.54311946485970797</v>
      </c>
      <c r="I201" s="10"/>
      <c r="J201" s="10"/>
      <c r="K201" s="16"/>
      <c r="L201" s="36"/>
      <c r="M201" s="36"/>
      <c r="N201" s="36"/>
      <c r="O201" s="36"/>
      <c r="P201" s="36"/>
      <c r="Q201" s="36"/>
      <c r="R201" s="36"/>
      <c r="S201" s="36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</row>
    <row r="202" spans="1:111" x14ac:dyDescent="0.2">
      <c r="A202" s="10"/>
      <c r="B202" s="10"/>
      <c r="C202" s="10"/>
      <c r="D202" s="10"/>
      <c r="E202" s="83">
        <f t="shared" si="13"/>
        <v>9.4499999999999993</v>
      </c>
      <c r="F202" s="112">
        <f t="shared" si="12"/>
        <v>684.75468762652895</v>
      </c>
      <c r="G202" s="115">
        <f t="shared" si="10"/>
        <v>0.65989083283560968</v>
      </c>
      <c r="H202" s="116">
        <f t="shared" si="11"/>
        <v>0.54501917328182647</v>
      </c>
      <c r="I202" s="10"/>
      <c r="J202" s="10"/>
      <c r="K202" s="16"/>
      <c r="L202" s="36"/>
      <c r="M202" s="36"/>
      <c r="N202" s="36"/>
      <c r="O202" s="36"/>
      <c r="P202" s="36"/>
      <c r="Q202" s="36"/>
      <c r="R202" s="36"/>
      <c r="S202" s="36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</row>
    <row r="203" spans="1:111" x14ac:dyDescent="0.2">
      <c r="A203" s="10"/>
      <c r="B203" s="10"/>
      <c r="C203" s="10"/>
      <c r="D203" s="10"/>
      <c r="E203" s="83">
        <f t="shared" si="13"/>
        <v>9.5</v>
      </c>
      <c r="F203" s="112">
        <f t="shared" si="12"/>
        <v>686.15757056065956</v>
      </c>
      <c r="G203" s="115">
        <f t="shared" si="10"/>
        <v>0.66257639619458675</v>
      </c>
      <c r="H203" s="116">
        <f t="shared" si="11"/>
        <v>0.54691098271983107</v>
      </c>
      <c r="I203" s="10"/>
      <c r="J203" s="10"/>
      <c r="K203" s="16"/>
      <c r="L203" s="36"/>
      <c r="M203" s="36"/>
      <c r="N203" s="36"/>
      <c r="O203" s="36"/>
      <c r="P203" s="36"/>
      <c r="Q203" s="36"/>
      <c r="R203" s="36"/>
      <c r="S203" s="36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</row>
    <row r="204" spans="1:111" x14ac:dyDescent="0.2">
      <c r="A204" s="10"/>
      <c r="B204" s="10"/>
      <c r="C204" s="10"/>
      <c r="D204" s="10"/>
      <c r="E204" s="83">
        <f t="shared" si="13"/>
        <v>9.5500000000000007</v>
      </c>
      <c r="F204" s="112">
        <f t="shared" si="12"/>
        <v>687.5556119458264</v>
      </c>
      <c r="G204" s="115">
        <f t="shared" ref="G204:G213" si="14">1-EXP(-E204*F204/(1-RecoveryRate)/10000)</f>
        <v>0.66524600125444389</v>
      </c>
      <c r="H204" s="116">
        <f t="shared" ref="H204:H213" si="15">1-EXP(-E204*fiveyrspread/(1-RecoveryRate)/10000)</f>
        <v>0.54879492601768298</v>
      </c>
      <c r="I204" s="10"/>
      <c r="J204" s="10"/>
      <c r="K204" s="16"/>
      <c r="L204" s="36"/>
      <c r="M204" s="36"/>
      <c r="N204" s="36"/>
      <c r="O204" s="36"/>
      <c r="P204" s="36"/>
      <c r="Q204" s="36"/>
      <c r="R204" s="36"/>
      <c r="S204" s="36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</row>
    <row r="205" spans="1:111" x14ac:dyDescent="0.2">
      <c r="A205" s="10"/>
      <c r="B205" s="10"/>
      <c r="C205" s="10"/>
      <c r="D205" s="10"/>
      <c r="E205" s="83">
        <f t="shared" si="13"/>
        <v>9.6000000000000014</v>
      </c>
      <c r="F205" s="112">
        <f t="shared" ref="F205:F213" si="16">CubicSpline($B$34:$B$38,$C$11:$C$15,E205)</f>
        <v>688.94930356627731</v>
      </c>
      <c r="G205" s="115">
        <f t="shared" si="14"/>
        <v>0.66789991202889287</v>
      </c>
      <c r="H205" s="116">
        <f t="shared" si="15"/>
        <v>0.55067103588277844</v>
      </c>
      <c r="I205" s="10"/>
      <c r="J205" s="10"/>
      <c r="K205" s="16"/>
      <c r="L205" s="36"/>
      <c r="M205" s="36"/>
      <c r="N205" s="36"/>
      <c r="O205" s="36"/>
      <c r="P205" s="36"/>
      <c r="Q205" s="36"/>
      <c r="R205" s="36"/>
      <c r="S205" s="36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</row>
    <row r="206" spans="1:111" x14ac:dyDescent="0.2">
      <c r="A206" s="10"/>
      <c r="B206" s="10"/>
      <c r="C206" s="10"/>
      <c r="D206" s="10"/>
      <c r="E206" s="83">
        <f t="shared" si="13"/>
        <v>9.6500000000000021</v>
      </c>
      <c r="F206" s="112">
        <f t="shared" si="16"/>
        <v>690.33910656412388</v>
      </c>
      <c r="G206" s="115">
        <f t="shared" si="14"/>
        <v>0.67053837507533176</v>
      </c>
      <c r="H206" s="116">
        <f t="shared" si="15"/>
        <v>0.55253934488651657</v>
      </c>
      <c r="I206" s="10"/>
      <c r="J206" s="10"/>
      <c r="K206" s="16"/>
      <c r="L206" s="36"/>
      <c r="M206" s="36"/>
      <c r="N206" s="36"/>
      <c r="O206" s="36"/>
      <c r="P206" s="36"/>
      <c r="Q206" s="36"/>
      <c r="R206" s="36"/>
      <c r="S206" s="36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</row>
    <row r="207" spans="1:111" x14ac:dyDescent="0.2">
      <c r="A207" s="10"/>
      <c r="B207" s="10"/>
      <c r="C207" s="10"/>
      <c r="D207" s="10"/>
      <c r="E207" s="83">
        <f t="shared" si="13"/>
        <v>9.7000000000000028</v>
      </c>
      <c r="F207" s="112">
        <f t="shared" si="16"/>
        <v>691.72552823011154</v>
      </c>
      <c r="G207" s="115">
        <f t="shared" si="14"/>
        <v>0.67316166018164991</v>
      </c>
      <c r="H207" s="116">
        <f t="shared" si="15"/>
        <v>0.55439988546486441</v>
      </c>
      <c r="I207" s="10"/>
      <c r="J207" s="10"/>
      <c r="K207" s="16"/>
      <c r="L207" s="36"/>
      <c r="M207" s="36"/>
      <c r="N207" s="36"/>
      <c r="O207" s="36"/>
      <c r="P207" s="36"/>
      <c r="Q207" s="36"/>
      <c r="R207" s="36"/>
      <c r="S207" s="36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</row>
    <row r="208" spans="1:111" x14ac:dyDescent="0.2">
      <c r="A208" s="10"/>
      <c r="B208" s="10"/>
      <c r="C208" s="10"/>
      <c r="D208" s="10"/>
      <c r="E208" s="83">
        <f t="shared" si="13"/>
        <v>9.7500000000000036</v>
      </c>
      <c r="F208" s="112">
        <f t="shared" si="16"/>
        <v>693.10904496676426</v>
      </c>
      <c r="G208" s="115">
        <f t="shared" si="14"/>
        <v>0.67577001931801817</v>
      </c>
      <c r="H208" s="116">
        <f t="shared" si="15"/>
        <v>0.5562526899189203</v>
      </c>
      <c r="I208" s="10"/>
      <c r="J208" s="10"/>
      <c r="K208" s="16"/>
      <c r="L208" s="36"/>
      <c r="M208" s="36"/>
      <c r="N208" s="36"/>
      <c r="O208" s="36"/>
      <c r="P208" s="36"/>
      <c r="Q208" s="36"/>
      <c r="R208" s="36"/>
      <c r="S208" s="36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</row>
    <row r="209" spans="1:111" x14ac:dyDescent="0.2">
      <c r="A209" s="10"/>
      <c r="B209" s="10"/>
      <c r="C209" s="10"/>
      <c r="D209" s="10"/>
      <c r="E209" s="83">
        <f t="shared" si="13"/>
        <v>9.8000000000000043</v>
      </c>
      <c r="F209" s="112">
        <f t="shared" si="16"/>
        <v>694.49014474363253</v>
      </c>
      <c r="G209" s="115">
        <f t="shared" si="14"/>
        <v>0.67836370906003673</v>
      </c>
      <c r="H209" s="116">
        <f t="shared" si="15"/>
        <v>0.5580977904154748</v>
      </c>
      <c r="I209" s="10"/>
      <c r="J209" s="10"/>
      <c r="K209" s="16"/>
      <c r="L209" s="36"/>
      <c r="M209" s="36"/>
      <c r="N209" s="36"/>
      <c r="O209" s="36"/>
      <c r="P209" s="36"/>
      <c r="Q209" s="36"/>
      <c r="R209" s="36"/>
      <c r="S209" s="36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</row>
    <row r="210" spans="1:111" x14ac:dyDescent="0.2">
      <c r="A210" s="10"/>
      <c r="B210" s="10"/>
      <c r="C210" s="10"/>
      <c r="D210" s="10"/>
      <c r="E210" s="83">
        <f t="shared" ref="E210:E211" si="17">E209+0.05</f>
        <v>9.850000000000005</v>
      </c>
      <c r="F210" s="112">
        <f t="shared" si="16"/>
        <v>695.86930020703403</v>
      </c>
      <c r="G210" s="115">
        <f t="shared" si="14"/>
        <v>0.68094297630454848</v>
      </c>
      <c r="H210" s="116">
        <f t="shared" si="15"/>
        <v>0.55993521898756915</v>
      </c>
      <c r="I210" s="10"/>
      <c r="J210" s="10"/>
      <c r="K210" s="16"/>
      <c r="L210" s="36"/>
      <c r="M210" s="36"/>
      <c r="N210" s="36"/>
      <c r="O210" s="36"/>
      <c r="P210" s="36"/>
      <c r="Q210" s="36"/>
      <c r="R210" s="36"/>
      <c r="S210" s="36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</row>
    <row r="211" spans="1:111" x14ac:dyDescent="0.2">
      <c r="A211" s="10"/>
      <c r="B211" s="10"/>
      <c r="C211" s="10"/>
      <c r="D211" s="10"/>
      <c r="E211" s="83">
        <f t="shared" si="17"/>
        <v>9.9000000000000057</v>
      </c>
      <c r="F211" s="112">
        <f t="shared" si="16"/>
        <v>697.2470089918786</v>
      </c>
      <c r="G211" s="115">
        <f t="shared" si="14"/>
        <v>0.68350807933122404</v>
      </c>
      <c r="H211" s="116">
        <f t="shared" si="15"/>
        <v>0.56176500753505099</v>
      </c>
      <c r="I211" s="10"/>
      <c r="J211" s="10"/>
      <c r="K211" s="16"/>
      <c r="L211" s="36"/>
      <c r="M211" s="36"/>
      <c r="N211" s="36"/>
      <c r="O211" s="36"/>
      <c r="P211" s="36"/>
      <c r="Q211" s="36"/>
      <c r="R211" s="36"/>
      <c r="S211" s="36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</row>
    <row r="212" spans="1:111" x14ac:dyDescent="0.2">
      <c r="A212" s="10"/>
      <c r="B212" s="10"/>
      <c r="C212" s="10"/>
      <c r="D212" s="10"/>
      <c r="E212" s="83">
        <f t="shared" ref="E212:E213" si="18">E211+0.05</f>
        <v>9.9500000000000064</v>
      </c>
      <c r="F212" s="112">
        <f t="shared" si="16"/>
        <v>698.62374657344787</v>
      </c>
      <c r="G212" s="115">
        <f t="shared" si="14"/>
        <v>0.686059262951489</v>
      </c>
      <c r="H212" s="116">
        <f t="shared" si="15"/>
        <v>0.56358718782512862</v>
      </c>
      <c r="I212" s="10"/>
      <c r="J212" s="10"/>
      <c r="K212" s="16"/>
      <c r="L212" s="36"/>
      <c r="M212" s="36"/>
      <c r="N212" s="36"/>
      <c r="O212" s="36"/>
      <c r="P212" s="36"/>
      <c r="Q212" s="36"/>
      <c r="R212" s="36"/>
      <c r="S212" s="36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</row>
    <row r="213" spans="1:111" ht="13.5" thickBot="1" x14ac:dyDescent="0.25">
      <c r="A213" s="10"/>
      <c r="B213" s="10"/>
      <c r="C213" s="10"/>
      <c r="D213" s="10"/>
      <c r="E213" s="84">
        <f t="shared" si="18"/>
        <v>10.000000000000007</v>
      </c>
      <c r="F213" s="117">
        <f t="shared" si="16"/>
        <v>700.00000000000023</v>
      </c>
      <c r="G213" s="118">
        <f t="shared" si="14"/>
        <v>0.68859677608540271</v>
      </c>
      <c r="H213" s="119">
        <f t="shared" si="15"/>
        <v>0.56540179149292202</v>
      </c>
      <c r="I213" s="10"/>
      <c r="J213" s="10"/>
      <c r="K213" s="16"/>
      <c r="L213" s="36"/>
      <c r="M213" s="36"/>
      <c r="N213" s="36"/>
      <c r="O213" s="36"/>
      <c r="P213" s="36"/>
      <c r="Q213" s="36"/>
      <c r="R213" s="36"/>
      <c r="S213" s="36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</row>
    <row r="214" spans="1:111" x14ac:dyDescent="0.2">
      <c r="A214" s="10"/>
      <c r="B214" s="10"/>
      <c r="C214" s="10"/>
      <c r="D214" s="10"/>
      <c r="E214" s="82"/>
      <c r="F214" s="10"/>
      <c r="G214" s="10"/>
      <c r="H214" s="10"/>
      <c r="I214" s="10"/>
      <c r="J214" s="10"/>
      <c r="K214" s="16"/>
      <c r="L214" s="36"/>
      <c r="M214" s="36"/>
      <c r="N214" s="36"/>
      <c r="O214" s="36"/>
      <c r="P214" s="36"/>
      <c r="Q214" s="36"/>
      <c r="R214" s="36"/>
      <c r="S214" s="36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</row>
    <row r="215" spans="1:111" x14ac:dyDescent="0.2">
      <c r="A215" s="10"/>
      <c r="B215" s="10"/>
      <c r="C215" s="10"/>
      <c r="D215" s="10"/>
      <c r="E215" s="82"/>
      <c r="F215" s="10"/>
      <c r="G215" s="10"/>
      <c r="H215" s="10"/>
      <c r="I215" s="10"/>
      <c r="J215" s="10"/>
      <c r="K215" s="16"/>
      <c r="L215" s="36"/>
      <c r="M215" s="36"/>
      <c r="N215" s="36"/>
      <c r="O215" s="36"/>
      <c r="P215" s="36"/>
      <c r="Q215" s="36"/>
      <c r="R215" s="36"/>
      <c r="S215" s="36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</row>
    <row r="216" spans="1:111" x14ac:dyDescent="0.2">
      <c r="A216" s="10"/>
      <c r="B216" s="10"/>
      <c r="C216" s="10"/>
      <c r="D216" s="10"/>
      <c r="E216" s="82"/>
      <c r="F216" s="10"/>
      <c r="G216" s="10"/>
      <c r="H216" s="10"/>
      <c r="I216" s="10"/>
      <c r="J216" s="10"/>
      <c r="K216" s="16"/>
      <c r="L216" s="36"/>
      <c r="M216" s="36"/>
      <c r="N216" s="36"/>
      <c r="O216" s="36"/>
      <c r="P216" s="36"/>
      <c r="Q216" s="36"/>
      <c r="R216" s="36"/>
      <c r="S216" s="36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</row>
    <row r="217" spans="1:111" x14ac:dyDescent="0.2">
      <c r="A217" s="10"/>
      <c r="B217" s="10"/>
      <c r="C217" s="10"/>
      <c r="D217" s="10"/>
      <c r="E217" s="82"/>
      <c r="F217" s="10"/>
      <c r="G217" s="10"/>
      <c r="H217" s="10"/>
      <c r="I217" s="10"/>
      <c r="J217" s="10"/>
      <c r="K217" s="16"/>
      <c r="L217" s="36"/>
      <c r="M217" s="36"/>
      <c r="N217" s="36"/>
      <c r="O217" s="36"/>
      <c r="P217" s="36"/>
      <c r="Q217" s="36"/>
      <c r="R217" s="36"/>
      <c r="S217" s="36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</row>
    <row r="218" spans="1:111" x14ac:dyDescent="0.2">
      <c r="A218" s="10"/>
      <c r="B218" s="10"/>
      <c r="C218" s="10"/>
      <c r="D218" s="10"/>
      <c r="E218" s="82"/>
      <c r="F218" s="10"/>
      <c r="G218" s="10"/>
      <c r="H218" s="10"/>
      <c r="I218" s="10"/>
      <c r="J218" s="10"/>
      <c r="K218" s="16"/>
      <c r="L218" s="36"/>
      <c r="M218" s="36"/>
      <c r="N218" s="36"/>
      <c r="O218" s="36"/>
      <c r="P218" s="36"/>
      <c r="Q218" s="36"/>
      <c r="R218" s="36"/>
      <c r="S218" s="36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</row>
    <row r="219" spans="1:111" x14ac:dyDescent="0.2">
      <c r="A219" s="10"/>
      <c r="B219" s="10"/>
      <c r="C219" s="10"/>
      <c r="D219" s="10"/>
      <c r="E219" s="82"/>
      <c r="F219" s="10"/>
      <c r="G219" s="10"/>
      <c r="H219" s="10"/>
      <c r="I219" s="10"/>
      <c r="J219" s="10"/>
      <c r="K219" s="16"/>
      <c r="L219" s="36"/>
      <c r="M219" s="36"/>
      <c r="N219" s="36"/>
      <c r="O219" s="36"/>
      <c r="P219" s="36"/>
      <c r="Q219" s="36"/>
      <c r="R219" s="36"/>
      <c r="S219" s="36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</row>
    <row r="220" spans="1:111" x14ac:dyDescent="0.2">
      <c r="A220" s="10"/>
      <c r="B220" s="10"/>
      <c r="C220" s="10"/>
      <c r="D220" s="10"/>
      <c r="E220" s="82"/>
      <c r="F220" s="10"/>
      <c r="G220" s="10"/>
      <c r="H220" s="10"/>
      <c r="I220" s="10"/>
      <c r="J220" s="10"/>
      <c r="K220" s="16"/>
      <c r="L220" s="36"/>
      <c r="M220" s="36"/>
      <c r="N220" s="36"/>
      <c r="O220" s="36"/>
      <c r="P220" s="36"/>
      <c r="Q220" s="36"/>
      <c r="R220" s="36"/>
      <c r="S220" s="36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</row>
    <row r="221" spans="1:111" x14ac:dyDescent="0.2">
      <c r="A221" s="10"/>
      <c r="B221" s="10"/>
      <c r="C221" s="10"/>
      <c r="D221" s="10"/>
      <c r="E221" s="82"/>
      <c r="F221" s="10"/>
      <c r="G221" s="10"/>
      <c r="H221" s="10"/>
      <c r="I221" s="10"/>
      <c r="J221" s="10"/>
      <c r="K221" s="16"/>
      <c r="L221" s="36"/>
      <c r="M221" s="36"/>
      <c r="N221" s="36"/>
      <c r="O221" s="36"/>
      <c r="P221" s="36"/>
      <c r="Q221" s="36"/>
      <c r="R221" s="36"/>
      <c r="S221" s="36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</row>
    <row r="222" spans="1:111" x14ac:dyDescent="0.2">
      <c r="A222" s="10"/>
      <c r="B222" s="10"/>
      <c r="C222" s="10"/>
      <c r="D222" s="10"/>
      <c r="E222" s="82"/>
      <c r="F222" s="10"/>
      <c r="G222" s="10"/>
      <c r="H222" s="10"/>
      <c r="I222" s="10"/>
      <c r="J222" s="10"/>
      <c r="K222" s="16"/>
      <c r="L222" s="36"/>
      <c r="M222" s="36"/>
      <c r="N222" s="36"/>
      <c r="O222" s="36"/>
      <c r="P222" s="36"/>
      <c r="Q222" s="36"/>
      <c r="R222" s="36"/>
      <c r="S222" s="36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</row>
    <row r="223" spans="1:111" x14ac:dyDescent="0.2">
      <c r="A223" s="10"/>
      <c r="B223" s="10"/>
      <c r="C223" s="10"/>
      <c r="D223" s="10"/>
      <c r="E223" s="82"/>
      <c r="F223" s="10"/>
      <c r="G223" s="10"/>
      <c r="H223" s="10"/>
      <c r="I223" s="10"/>
      <c r="J223" s="10"/>
      <c r="K223" s="16"/>
      <c r="L223" s="36"/>
      <c r="M223" s="36"/>
      <c r="N223" s="36"/>
      <c r="O223" s="36"/>
      <c r="P223" s="36"/>
      <c r="Q223" s="36"/>
      <c r="R223" s="36"/>
      <c r="S223" s="36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</row>
    <row r="224" spans="1:111" x14ac:dyDescent="0.2">
      <c r="A224" s="10"/>
      <c r="B224" s="10"/>
      <c r="C224" s="10"/>
      <c r="D224" s="10"/>
      <c r="E224" s="82"/>
      <c r="F224" s="10"/>
      <c r="G224" s="10"/>
      <c r="H224" s="10"/>
      <c r="I224" s="10"/>
      <c r="J224" s="10"/>
      <c r="K224" s="16"/>
      <c r="L224" s="36"/>
      <c r="M224" s="36"/>
      <c r="N224" s="36"/>
      <c r="O224" s="36"/>
      <c r="P224" s="36"/>
      <c r="Q224" s="36"/>
      <c r="R224" s="36"/>
      <c r="S224" s="36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</row>
    <row r="225" spans="1:111" x14ac:dyDescent="0.2">
      <c r="A225" s="10"/>
      <c r="B225" s="10"/>
      <c r="C225" s="10"/>
      <c r="D225" s="10"/>
      <c r="E225" s="82"/>
      <c r="F225" s="10"/>
      <c r="G225" s="10"/>
      <c r="H225" s="10"/>
      <c r="I225" s="10"/>
      <c r="J225" s="10"/>
      <c r="K225" s="16"/>
      <c r="L225" s="36"/>
      <c r="M225" s="36"/>
      <c r="N225" s="36"/>
      <c r="O225" s="36"/>
      <c r="P225" s="36"/>
      <c r="Q225" s="36"/>
      <c r="R225" s="36"/>
      <c r="S225" s="36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</row>
    <row r="226" spans="1:111" x14ac:dyDescent="0.2">
      <c r="A226" s="10"/>
      <c r="B226" s="10"/>
      <c r="C226" s="10"/>
      <c r="D226" s="10"/>
      <c r="E226" s="82"/>
      <c r="F226" s="10"/>
      <c r="G226" s="10"/>
      <c r="H226" s="10"/>
      <c r="I226" s="10"/>
      <c r="J226" s="10"/>
      <c r="K226" s="16"/>
      <c r="L226" s="36"/>
      <c r="M226" s="36"/>
      <c r="N226" s="36"/>
      <c r="O226" s="36"/>
      <c r="P226" s="36"/>
      <c r="Q226" s="36"/>
      <c r="R226" s="36"/>
      <c r="S226" s="36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</row>
    <row r="227" spans="1:111" x14ac:dyDescent="0.2">
      <c r="A227" s="10"/>
      <c r="B227" s="10"/>
      <c r="C227" s="10"/>
      <c r="D227" s="10"/>
      <c r="E227" s="82"/>
      <c r="F227" s="10"/>
      <c r="G227" s="10"/>
      <c r="H227" s="10"/>
      <c r="I227" s="10"/>
      <c r="J227" s="10"/>
      <c r="K227" s="16"/>
      <c r="L227" s="36"/>
      <c r="M227" s="36"/>
      <c r="N227" s="36"/>
      <c r="O227" s="36"/>
      <c r="P227" s="36"/>
      <c r="Q227" s="36"/>
      <c r="R227" s="36"/>
      <c r="S227" s="36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</row>
    <row r="228" spans="1:111" x14ac:dyDescent="0.2">
      <c r="A228" s="10"/>
      <c r="B228" s="10"/>
      <c r="C228" s="10"/>
      <c r="D228" s="10"/>
      <c r="E228" s="82"/>
      <c r="F228" s="10"/>
      <c r="G228" s="10"/>
      <c r="H228" s="10"/>
      <c r="I228" s="10"/>
      <c r="J228" s="10"/>
      <c r="K228" s="16"/>
      <c r="L228" s="36"/>
      <c r="M228" s="36"/>
      <c r="N228" s="36"/>
      <c r="O228" s="36"/>
      <c r="P228" s="36"/>
      <c r="Q228" s="36"/>
      <c r="R228" s="36"/>
      <c r="S228" s="36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</row>
    <row r="229" spans="1:111" x14ac:dyDescent="0.2">
      <c r="A229" s="10"/>
      <c r="B229" s="10"/>
      <c r="C229" s="10"/>
      <c r="D229" s="10"/>
      <c r="E229" s="82"/>
      <c r="F229" s="10"/>
      <c r="G229" s="10"/>
      <c r="H229" s="10"/>
      <c r="I229" s="10"/>
      <c r="J229" s="10"/>
      <c r="K229" s="16"/>
      <c r="L229" s="36"/>
      <c r="M229" s="36"/>
      <c r="N229" s="36"/>
      <c r="O229" s="36"/>
      <c r="P229" s="36"/>
      <c r="Q229" s="36"/>
      <c r="R229" s="36"/>
      <c r="S229" s="36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</row>
    <row r="230" spans="1:111" x14ac:dyDescent="0.2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6"/>
      <c r="L230" s="36"/>
      <c r="M230" s="36"/>
      <c r="N230" s="36"/>
      <c r="O230" s="36"/>
      <c r="P230" s="36"/>
      <c r="Q230" s="36"/>
      <c r="R230" s="36"/>
      <c r="S230" s="36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</row>
    <row r="231" spans="1:111" x14ac:dyDescent="0.2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6"/>
      <c r="L231" s="36"/>
      <c r="M231" s="36"/>
      <c r="N231" s="36"/>
      <c r="O231" s="36"/>
      <c r="P231" s="36"/>
      <c r="Q231" s="36"/>
      <c r="R231" s="36"/>
      <c r="S231" s="36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</row>
    <row r="232" spans="1:111" x14ac:dyDescent="0.2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6"/>
      <c r="L232" s="36"/>
      <c r="M232" s="36"/>
      <c r="N232" s="36"/>
      <c r="O232" s="36"/>
      <c r="P232" s="36"/>
      <c r="Q232" s="36"/>
      <c r="R232" s="36"/>
      <c r="S232" s="36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</row>
    <row r="233" spans="1:111" x14ac:dyDescent="0.2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6"/>
      <c r="L233" s="36"/>
      <c r="M233" s="36"/>
      <c r="N233" s="36"/>
      <c r="O233" s="36"/>
      <c r="P233" s="36"/>
      <c r="Q233" s="36"/>
      <c r="R233" s="36"/>
      <c r="S233" s="36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</row>
    <row r="234" spans="1:111" x14ac:dyDescent="0.2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6"/>
      <c r="L234" s="36"/>
      <c r="M234" s="36"/>
      <c r="N234" s="36"/>
      <c r="O234" s="36"/>
      <c r="P234" s="36"/>
      <c r="Q234" s="36"/>
      <c r="R234" s="36"/>
      <c r="S234" s="36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</row>
    <row r="235" spans="1:111" x14ac:dyDescent="0.2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6"/>
      <c r="L235" s="36"/>
      <c r="M235" s="36"/>
      <c r="N235" s="36"/>
      <c r="O235" s="36"/>
      <c r="P235" s="36"/>
      <c r="Q235" s="36"/>
      <c r="R235" s="36"/>
      <c r="S235" s="36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</row>
    <row r="236" spans="1:111" x14ac:dyDescent="0.2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6"/>
      <c r="L236" s="36"/>
      <c r="M236" s="36"/>
      <c r="N236" s="36"/>
      <c r="O236" s="36"/>
      <c r="P236" s="36"/>
      <c r="Q236" s="36"/>
      <c r="R236" s="36"/>
      <c r="S236" s="36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</row>
    <row r="237" spans="1:111" x14ac:dyDescent="0.2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6"/>
      <c r="L237" s="36"/>
      <c r="M237" s="36"/>
      <c r="N237" s="36"/>
      <c r="O237" s="36"/>
      <c r="P237" s="36"/>
      <c r="Q237" s="36"/>
      <c r="R237" s="36"/>
      <c r="S237" s="36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</row>
    <row r="238" spans="1:111" x14ac:dyDescent="0.2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6"/>
      <c r="L238" s="36"/>
      <c r="M238" s="36"/>
      <c r="N238" s="36"/>
      <c r="O238" s="36"/>
      <c r="P238" s="36"/>
      <c r="Q238" s="36"/>
      <c r="R238" s="36"/>
      <c r="S238" s="36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</row>
    <row r="239" spans="1:111" x14ac:dyDescent="0.2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6"/>
      <c r="L239" s="36"/>
      <c r="M239" s="36"/>
      <c r="N239" s="36"/>
      <c r="O239" s="36"/>
      <c r="P239" s="36"/>
      <c r="Q239" s="36"/>
      <c r="R239" s="36"/>
      <c r="S239" s="36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</row>
    <row r="240" spans="1:111" x14ac:dyDescent="0.2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6"/>
      <c r="L240" s="36"/>
      <c r="M240" s="36"/>
      <c r="N240" s="36"/>
      <c r="O240" s="36"/>
      <c r="P240" s="36"/>
      <c r="Q240" s="36"/>
      <c r="R240" s="36"/>
      <c r="S240" s="36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</row>
    <row r="241" spans="1:111" x14ac:dyDescent="0.2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6"/>
      <c r="L241" s="36"/>
      <c r="M241" s="36"/>
      <c r="N241" s="36"/>
      <c r="O241" s="36"/>
      <c r="P241" s="36"/>
      <c r="Q241" s="36"/>
      <c r="R241" s="36"/>
      <c r="S241" s="36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</row>
    <row r="242" spans="1:111" x14ac:dyDescent="0.2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6"/>
      <c r="L242" s="36"/>
      <c r="M242" s="36"/>
      <c r="N242" s="36"/>
      <c r="O242" s="36"/>
      <c r="P242" s="36"/>
      <c r="Q242" s="36"/>
      <c r="R242" s="36"/>
      <c r="S242" s="36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</row>
    <row r="243" spans="1:111" x14ac:dyDescent="0.2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6"/>
      <c r="L243" s="36"/>
      <c r="M243" s="36"/>
      <c r="N243" s="36"/>
      <c r="O243" s="36"/>
      <c r="P243" s="36"/>
      <c r="Q243" s="36"/>
      <c r="R243" s="36"/>
      <c r="S243" s="36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</row>
    <row r="244" spans="1:111" x14ac:dyDescent="0.2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6"/>
      <c r="L244" s="36"/>
      <c r="M244" s="36"/>
      <c r="N244" s="36"/>
      <c r="O244" s="36"/>
      <c r="P244" s="36"/>
      <c r="Q244" s="36"/>
      <c r="R244" s="36"/>
      <c r="S244" s="36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</row>
    <row r="245" spans="1:111" x14ac:dyDescent="0.2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6"/>
      <c r="L245" s="36"/>
      <c r="M245" s="36"/>
      <c r="N245" s="36"/>
      <c r="O245" s="36"/>
      <c r="P245" s="36"/>
      <c r="Q245" s="36"/>
      <c r="R245" s="36"/>
      <c r="S245" s="36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</row>
    <row r="246" spans="1:111" x14ac:dyDescent="0.2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6"/>
      <c r="L246" s="36"/>
      <c r="M246" s="36"/>
      <c r="N246" s="36"/>
      <c r="O246" s="36"/>
      <c r="P246" s="36"/>
      <c r="Q246" s="36"/>
      <c r="R246" s="36"/>
      <c r="S246" s="36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</row>
    <row r="247" spans="1:111" x14ac:dyDescent="0.2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6"/>
      <c r="L247" s="36"/>
      <c r="M247" s="36"/>
      <c r="N247" s="36"/>
      <c r="O247" s="36"/>
      <c r="P247" s="36"/>
      <c r="Q247" s="36"/>
      <c r="R247" s="36"/>
      <c r="S247" s="36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</row>
    <row r="248" spans="1:111" x14ac:dyDescent="0.2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6"/>
      <c r="L248" s="36"/>
      <c r="M248" s="36"/>
      <c r="N248" s="36"/>
      <c r="O248" s="36"/>
      <c r="P248" s="36"/>
      <c r="Q248" s="36"/>
      <c r="R248" s="36"/>
      <c r="S248" s="36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</row>
    <row r="249" spans="1:111" x14ac:dyDescent="0.2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6"/>
      <c r="L249" s="36"/>
      <c r="M249" s="36"/>
      <c r="N249" s="36"/>
      <c r="O249" s="36"/>
      <c r="P249" s="36"/>
      <c r="Q249" s="36"/>
      <c r="R249" s="36"/>
      <c r="S249" s="36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</row>
    <row r="250" spans="1:111" x14ac:dyDescent="0.2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6"/>
      <c r="L250" s="36"/>
      <c r="M250" s="36"/>
      <c r="N250" s="36"/>
      <c r="O250" s="36"/>
      <c r="P250" s="36"/>
      <c r="Q250" s="36"/>
      <c r="R250" s="36"/>
      <c r="S250" s="36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</row>
    <row r="251" spans="1:111" x14ac:dyDescent="0.2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6"/>
      <c r="L251" s="36"/>
      <c r="M251" s="36"/>
      <c r="N251" s="36"/>
      <c r="O251" s="36"/>
      <c r="P251" s="36"/>
      <c r="Q251" s="36"/>
      <c r="R251" s="36"/>
      <c r="S251" s="36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</row>
    <row r="252" spans="1:111" x14ac:dyDescent="0.2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6"/>
      <c r="L252" s="36"/>
      <c r="M252" s="36"/>
      <c r="N252" s="36"/>
      <c r="O252" s="36"/>
      <c r="P252" s="36"/>
      <c r="Q252" s="36"/>
      <c r="R252" s="36"/>
      <c r="S252" s="36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</row>
    <row r="253" spans="1:111" x14ac:dyDescent="0.2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6"/>
      <c r="L253" s="36"/>
      <c r="M253" s="36"/>
      <c r="N253" s="36"/>
      <c r="O253" s="36"/>
      <c r="P253" s="36"/>
      <c r="Q253" s="36"/>
      <c r="R253" s="36"/>
      <c r="S253" s="36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</row>
    <row r="254" spans="1:111" x14ac:dyDescent="0.2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6"/>
      <c r="L254" s="36"/>
      <c r="M254" s="36"/>
      <c r="N254" s="36"/>
      <c r="O254" s="36"/>
      <c r="P254" s="36"/>
      <c r="Q254" s="36"/>
      <c r="R254" s="36"/>
      <c r="S254" s="36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</row>
    <row r="255" spans="1:111" x14ac:dyDescent="0.2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6"/>
      <c r="L255" s="36"/>
      <c r="M255" s="36"/>
      <c r="N255" s="36"/>
      <c r="O255" s="36"/>
      <c r="P255" s="36"/>
      <c r="Q255" s="36"/>
      <c r="R255" s="36"/>
      <c r="S255" s="36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</row>
    <row r="256" spans="1:111" x14ac:dyDescent="0.2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6"/>
      <c r="L256" s="36"/>
      <c r="M256" s="36"/>
      <c r="N256" s="36"/>
      <c r="O256" s="36"/>
      <c r="P256" s="36"/>
      <c r="Q256" s="36"/>
      <c r="R256" s="36"/>
      <c r="S256" s="36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</row>
    <row r="257" spans="1:111" x14ac:dyDescent="0.2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6"/>
      <c r="L257" s="36"/>
      <c r="M257" s="36"/>
      <c r="N257" s="36"/>
      <c r="O257" s="36"/>
      <c r="P257" s="36"/>
      <c r="Q257" s="36"/>
      <c r="R257" s="36"/>
      <c r="S257" s="36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</row>
    <row r="258" spans="1:111" x14ac:dyDescent="0.2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6"/>
      <c r="L258" s="36"/>
      <c r="M258" s="36"/>
      <c r="N258" s="36"/>
      <c r="O258" s="36"/>
      <c r="P258" s="36"/>
      <c r="Q258" s="36"/>
      <c r="R258" s="36"/>
      <c r="S258" s="36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</row>
    <row r="259" spans="1:111" x14ac:dyDescent="0.2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6"/>
      <c r="L259" s="36"/>
      <c r="M259" s="36"/>
      <c r="N259" s="36"/>
      <c r="O259" s="36"/>
      <c r="P259" s="36"/>
      <c r="Q259" s="36"/>
      <c r="R259" s="36"/>
      <c r="S259" s="36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</row>
    <row r="260" spans="1:111" x14ac:dyDescent="0.2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6"/>
      <c r="L260" s="36"/>
      <c r="M260" s="36"/>
      <c r="N260" s="36"/>
      <c r="O260" s="36"/>
      <c r="P260" s="36"/>
      <c r="Q260" s="36"/>
      <c r="R260" s="36"/>
      <c r="S260" s="36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</row>
    <row r="261" spans="1:111" x14ac:dyDescent="0.2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6"/>
      <c r="L261" s="36"/>
      <c r="M261" s="36"/>
      <c r="N261" s="36"/>
      <c r="O261" s="36"/>
      <c r="P261" s="36"/>
      <c r="Q261" s="36"/>
      <c r="R261" s="36"/>
      <c r="S261" s="36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</row>
    <row r="262" spans="1:111" x14ac:dyDescent="0.2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</row>
    <row r="263" spans="1:111" x14ac:dyDescent="0.2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</row>
    <row r="264" spans="1:111" x14ac:dyDescent="0.2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38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</row>
    <row r="265" spans="1:111" x14ac:dyDescent="0.2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38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</row>
    <row r="266" spans="1:111" x14ac:dyDescent="0.2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38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</row>
    <row r="267" spans="1:111" x14ac:dyDescent="0.2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38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</row>
    <row r="268" spans="1:111" x14ac:dyDescent="0.2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38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</row>
    <row r="269" spans="1:111" x14ac:dyDescent="0.2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38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</row>
    <row r="270" spans="1:111" x14ac:dyDescent="0.2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38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</row>
    <row r="271" spans="1:111" x14ac:dyDescent="0.2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38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</row>
    <row r="272" spans="1:111" x14ac:dyDescent="0.2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38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</row>
    <row r="273" spans="1:111" x14ac:dyDescent="0.2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38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</row>
    <row r="274" spans="1:111" x14ac:dyDescent="0.2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38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</row>
    <row r="275" spans="1:111" x14ac:dyDescent="0.2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38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</row>
    <row r="276" spans="1:111" x14ac:dyDescent="0.2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38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</row>
    <row r="277" spans="1:111" x14ac:dyDescent="0.2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38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</row>
    <row r="278" spans="1:111" x14ac:dyDescent="0.2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38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</row>
    <row r="279" spans="1:111" x14ac:dyDescent="0.2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38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</row>
    <row r="280" spans="1:111" x14ac:dyDescent="0.2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38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</row>
    <row r="281" spans="1:111" x14ac:dyDescent="0.2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38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</row>
    <row r="282" spans="1:111" x14ac:dyDescent="0.2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38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</row>
    <row r="283" spans="1:111" x14ac:dyDescent="0.2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38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</row>
    <row r="284" spans="1:111" x14ac:dyDescent="0.2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38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</row>
    <row r="285" spans="1:111" x14ac:dyDescent="0.2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38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</row>
    <row r="286" spans="1:111" x14ac:dyDescent="0.2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38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</row>
    <row r="287" spans="1:111" x14ac:dyDescent="0.2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38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</row>
    <row r="288" spans="1:111" x14ac:dyDescent="0.2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38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</row>
    <row r="289" spans="1:111" x14ac:dyDescent="0.2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38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</row>
    <row r="290" spans="1:111" x14ac:dyDescent="0.2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38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</row>
    <row r="291" spans="1:111" x14ac:dyDescent="0.2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38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</row>
    <row r="292" spans="1:111" x14ac:dyDescent="0.2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38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</row>
    <row r="293" spans="1:111" x14ac:dyDescent="0.2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38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</row>
    <row r="294" spans="1:111" x14ac:dyDescent="0.2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38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</row>
    <row r="295" spans="1:111" x14ac:dyDescent="0.2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38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</row>
    <row r="296" spans="1:111" x14ac:dyDescent="0.2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38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</row>
    <row r="297" spans="1:111" x14ac:dyDescent="0.2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38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</row>
    <row r="298" spans="1:111" x14ac:dyDescent="0.2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38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</row>
    <row r="299" spans="1:111" x14ac:dyDescent="0.2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38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</row>
    <row r="300" spans="1:111" x14ac:dyDescent="0.2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38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</row>
    <row r="301" spans="1:111" x14ac:dyDescent="0.2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38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</row>
    <row r="302" spans="1:111" x14ac:dyDescent="0.2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38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</row>
    <row r="303" spans="1:111" x14ac:dyDescent="0.2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38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</row>
    <row r="304" spans="1:111" x14ac:dyDescent="0.2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38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</row>
    <row r="305" spans="1:111" x14ac:dyDescent="0.2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38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</row>
    <row r="306" spans="1:111" x14ac:dyDescent="0.2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38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</row>
    <row r="307" spans="1:111" x14ac:dyDescent="0.2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38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</row>
    <row r="308" spans="1:111" x14ac:dyDescent="0.2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38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</row>
    <row r="309" spans="1:111" x14ac:dyDescent="0.2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38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</row>
    <row r="310" spans="1:111" x14ac:dyDescent="0.2">
      <c r="K310" s="3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</row>
    <row r="311" spans="1:111" x14ac:dyDescent="0.2">
      <c r="K311" s="3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</row>
    <row r="312" spans="1:111" x14ac:dyDescent="0.2">
      <c r="K312" s="3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</row>
    <row r="313" spans="1:111" x14ac:dyDescent="0.2">
      <c r="K313" s="3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</row>
    <row r="314" spans="1:111" x14ac:dyDescent="0.2">
      <c r="K314" s="3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</row>
    <row r="315" spans="1:111" x14ac:dyDescent="0.2">
      <c r="K315" s="3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</row>
    <row r="316" spans="1:111" x14ac:dyDescent="0.2">
      <c r="K316" s="3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</row>
    <row r="317" spans="1:111" x14ac:dyDescent="0.2">
      <c r="K317" s="3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</row>
    <row r="318" spans="1:111" x14ac:dyDescent="0.2">
      <c r="K318" s="3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</row>
    <row r="319" spans="1:111" x14ac:dyDescent="0.2">
      <c r="K319" s="3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</row>
    <row r="320" spans="1:111" x14ac:dyDescent="0.2">
      <c r="K320" s="3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</row>
    <row r="321" spans="11:111" x14ac:dyDescent="0.2">
      <c r="K321" s="3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</row>
    <row r="322" spans="11:111" x14ac:dyDescent="0.2">
      <c r="K322" s="3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</row>
    <row r="323" spans="11:111" x14ac:dyDescent="0.2">
      <c r="K323" s="3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</row>
    <row r="324" spans="11:111" x14ac:dyDescent="0.2">
      <c r="K324" s="3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</row>
    <row r="325" spans="11:111" x14ac:dyDescent="0.2">
      <c r="K325" s="3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</row>
    <row r="326" spans="11:111" x14ac:dyDescent="0.2">
      <c r="K326" s="3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</row>
    <row r="327" spans="11:111" x14ac:dyDescent="0.2">
      <c r="K327" s="3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</row>
    <row r="328" spans="11:111" x14ac:dyDescent="0.2">
      <c r="K328" s="3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</row>
    <row r="329" spans="11:111" x14ac:dyDescent="0.2">
      <c r="K329" s="3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</row>
    <row r="330" spans="11:111" x14ac:dyDescent="0.2">
      <c r="K330" s="3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</row>
    <row r="331" spans="11:111" x14ac:dyDescent="0.2">
      <c r="K331" s="3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</row>
    <row r="332" spans="11:111" x14ac:dyDescent="0.2">
      <c r="K332" s="3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</row>
    <row r="333" spans="11:111" x14ac:dyDescent="0.2">
      <c r="K333" s="3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</row>
    <row r="334" spans="11:111" x14ac:dyDescent="0.2">
      <c r="K334" s="3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</row>
    <row r="335" spans="11:111" x14ac:dyDescent="0.2">
      <c r="K335" s="3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</row>
    <row r="336" spans="11:111" x14ac:dyDescent="0.2">
      <c r="K336" s="3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</row>
    <row r="337" spans="11:111" x14ac:dyDescent="0.2">
      <c r="K337" s="3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</row>
    <row r="338" spans="11:111" x14ac:dyDescent="0.2">
      <c r="K338" s="3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</row>
    <row r="339" spans="11:111" x14ac:dyDescent="0.2">
      <c r="K339" s="3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</row>
    <row r="340" spans="11:111" x14ac:dyDescent="0.2">
      <c r="K340" s="3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</row>
    <row r="341" spans="11:111" x14ac:dyDescent="0.2">
      <c r="K341" s="3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</row>
    <row r="342" spans="11:111" x14ac:dyDescent="0.2">
      <c r="K342" s="3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</row>
    <row r="343" spans="11:111" x14ac:dyDescent="0.2">
      <c r="K343" s="3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</row>
    <row r="344" spans="11:111" x14ac:dyDescent="0.2">
      <c r="K344" s="3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</row>
    <row r="345" spans="11:111" x14ac:dyDescent="0.2">
      <c r="K345" s="3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</row>
    <row r="346" spans="11:111" x14ac:dyDescent="0.2">
      <c r="K346" s="3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</row>
    <row r="347" spans="11:111" x14ac:dyDescent="0.2">
      <c r="K347" s="3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</row>
    <row r="348" spans="11:111" x14ac:dyDescent="0.2">
      <c r="K348" s="3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</row>
    <row r="349" spans="11:111" x14ac:dyDescent="0.2">
      <c r="K349" s="3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</row>
    <row r="350" spans="11:111" x14ac:dyDescent="0.2">
      <c r="K350" s="3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</row>
    <row r="351" spans="11:111" x14ac:dyDescent="0.2">
      <c r="K351" s="3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</row>
    <row r="352" spans="11:111" x14ac:dyDescent="0.2">
      <c r="K352" s="3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</row>
    <row r="353" spans="11:111" x14ac:dyDescent="0.2">
      <c r="K353" s="3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</row>
    <row r="354" spans="11:111" x14ac:dyDescent="0.2">
      <c r="K354" s="3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</row>
    <row r="355" spans="11:111" x14ac:dyDescent="0.2">
      <c r="K355" s="3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</row>
    <row r="356" spans="11:111" x14ac:dyDescent="0.2">
      <c r="K356" s="3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</row>
    <row r="357" spans="11:111" x14ac:dyDescent="0.2">
      <c r="K357" s="3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</row>
    <row r="358" spans="11:111" x14ac:dyDescent="0.2">
      <c r="K358" s="3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</row>
    <row r="359" spans="11:111" x14ac:dyDescent="0.2">
      <c r="K359" s="3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</row>
    <row r="360" spans="11:111" x14ac:dyDescent="0.2">
      <c r="K360" s="3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</row>
    <row r="361" spans="11:111" x14ac:dyDescent="0.2">
      <c r="K361" s="3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</row>
    <row r="362" spans="11:111" x14ac:dyDescent="0.2">
      <c r="K362" s="3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</row>
    <row r="363" spans="11:111" x14ac:dyDescent="0.2">
      <c r="K363" s="3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</row>
    <row r="364" spans="11:111" x14ac:dyDescent="0.2">
      <c r="K364" s="3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</row>
    <row r="365" spans="11:111" x14ac:dyDescent="0.2">
      <c r="K365" s="3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</row>
    <row r="366" spans="11:111" x14ac:dyDescent="0.2">
      <c r="K366" s="3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</row>
    <row r="367" spans="11:111" x14ac:dyDescent="0.2">
      <c r="K367" s="3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</row>
    <row r="368" spans="11:111" x14ac:dyDescent="0.2">
      <c r="K368" s="3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</row>
    <row r="369" spans="11:111" x14ac:dyDescent="0.2">
      <c r="K369" s="3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</row>
    <row r="370" spans="11:111" x14ac:dyDescent="0.2">
      <c r="K370" s="3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</row>
    <row r="371" spans="11:111" x14ac:dyDescent="0.2">
      <c r="K371" s="3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</row>
    <row r="372" spans="11:111" x14ac:dyDescent="0.2">
      <c r="K372" s="3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</row>
    <row r="373" spans="11:111" x14ac:dyDescent="0.2">
      <c r="K373" s="3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</row>
    <row r="374" spans="11:111" x14ac:dyDescent="0.2">
      <c r="K374" s="3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</row>
    <row r="375" spans="11:111" x14ac:dyDescent="0.2">
      <c r="K375" s="3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</row>
    <row r="376" spans="11:111" x14ac:dyDescent="0.2">
      <c r="K376" s="3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</row>
    <row r="377" spans="11:111" x14ac:dyDescent="0.2">
      <c r="K377" s="3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</row>
    <row r="378" spans="11:111" x14ac:dyDescent="0.2">
      <c r="K378" s="3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</row>
    <row r="379" spans="11:111" x14ac:dyDescent="0.2">
      <c r="K379" s="3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</row>
    <row r="380" spans="11:111" x14ac:dyDescent="0.2">
      <c r="K380" s="3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</row>
    <row r="381" spans="11:111" x14ac:dyDescent="0.2">
      <c r="K381" s="3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</row>
    <row r="382" spans="11:111" x14ac:dyDescent="0.2">
      <c r="K382" s="3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</row>
    <row r="383" spans="11:111" x14ac:dyDescent="0.2">
      <c r="K383" s="3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</row>
    <row r="384" spans="11:111" x14ac:dyDescent="0.2">
      <c r="K384" s="3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</row>
    <row r="385" spans="11:111" x14ac:dyDescent="0.2">
      <c r="K385" s="3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</row>
    <row r="386" spans="11:111" x14ac:dyDescent="0.2">
      <c r="K386" s="3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</row>
    <row r="387" spans="11:111" x14ac:dyDescent="0.2">
      <c r="K387" s="3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</row>
    <row r="388" spans="11:111" x14ac:dyDescent="0.2">
      <c r="K388" s="3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</row>
    <row r="1048576" spans="2:2" x14ac:dyDescent="0.2">
      <c r="B1048576" s="43"/>
    </row>
  </sheetData>
  <mergeCells count="2">
    <mergeCell ref="B9:C9"/>
    <mergeCell ref="G9:H9"/>
  </mergeCells>
  <pageMargins left="0.75" right="0.75" top="1" bottom="1" header="0.5" footer="0.5"/>
  <pageSetup paperSize="9" orientation="portrait" horizontalDpi="200" verticalDpi="200" copies="0" r:id="rId1"/>
  <headerFooter alignWithMargins="0"/>
  <ignoredErrors>
    <ignoredError sqref="H12 F11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Spreadsheet10.1</vt:lpstr>
      <vt:lpstr>Spreadsheet10.2</vt:lpstr>
      <vt:lpstr>Spreadsheet10.3 (new)</vt:lpstr>
      <vt:lpstr>Spreadsheet10.2!Collateral</vt:lpstr>
      <vt:lpstr>'Spreadsheet10.3 (new)'!Collateral</vt:lpstr>
      <vt:lpstr>Collateral</vt:lpstr>
      <vt:lpstr>Spreadsheet10.2!CollateralisedExposure</vt:lpstr>
      <vt:lpstr>'Spreadsheet10.3 (new)'!CollateralisedExposure</vt:lpstr>
      <vt:lpstr>CollateralisedExposure</vt:lpstr>
      <vt:lpstr>CreditCurve</vt:lpstr>
      <vt:lpstr>Spreadsheet10.2!Exposure</vt:lpstr>
      <vt:lpstr>'Spreadsheet10.3 (new)'!Exposure</vt:lpstr>
      <vt:lpstr>Exposure</vt:lpstr>
      <vt:lpstr>fiveyrspread</vt:lpstr>
      <vt:lpstr>Spreadsheet10.2!HazardRate1</vt:lpstr>
      <vt:lpstr>Spreadsheet10.2!HazardRate2</vt:lpstr>
      <vt:lpstr>Spreadsheet10.2!HazardRate3</vt:lpstr>
      <vt:lpstr>Spreadsheet10.2!HazardRate4</vt:lpstr>
      <vt:lpstr>Spreadsheet10.2!HazardRate5</vt:lpstr>
      <vt:lpstr>HazardRates</vt:lpstr>
      <vt:lpstr>Spreadsheet10.2!IRate</vt:lpstr>
      <vt:lpstr>MTMVals</vt:lpstr>
      <vt:lpstr>Spreadsheet10.2!PathNum</vt:lpstr>
      <vt:lpstr>PathNum</vt:lpstr>
      <vt:lpstr>Spreadsheet10.2!Recovery</vt:lpstr>
      <vt:lpstr>RecoveryRate</vt:lpstr>
    </vt:vector>
  </TitlesOfParts>
  <Company>Home 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Gregory</dc:creator>
  <cp:lastModifiedBy>Ahmad Namini</cp:lastModifiedBy>
  <dcterms:created xsi:type="dcterms:W3CDTF">2009-11-27T11:14:55Z</dcterms:created>
  <dcterms:modified xsi:type="dcterms:W3CDTF">2020-02-13T23:00:52Z</dcterms:modified>
</cp:coreProperties>
</file>